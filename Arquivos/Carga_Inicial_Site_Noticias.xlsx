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icionario_Dados" sheetId="2" state="visible" r:id="rId4"/>
    <sheet name="Categorias" sheetId="3" state="visible" r:id="rId5"/>
    <sheet name="Usuario" sheetId="4" state="visible" r:id="rId6"/>
    <sheet name="Posts" sheetId="5" state="visible" r:id="rId7"/>
    <sheet name="Comentarios" sheetId="6" state="visible" r:id="rId8"/>
    <sheet name="Listas" sheetId="7" state="visible" r:id="rId9"/>
  </sheets>
  <definedNames>
    <definedName function="false" hidden="false" name="lst_Ativo" vbProcedure="false">Listas!$B$2:$B$3</definedName>
    <definedName function="false" hidden="false" name="lst_Categorias" vbProcedure="false">Categorias!$A$3:$A$202</definedName>
    <definedName function="false" hidden="false" name="lst_Posts" vbProcedure="false">Posts!$C$3:$C$202</definedName>
    <definedName function="false" hidden="false" name="lst_Status" vbProcedure="false">Listas!$C$2:$C$4</definedName>
    <definedName function="false" hidden="false" name="lst_TipoUsuario" vbProcedure="false">Listas!$A$2:$A$4</definedName>
    <definedName function="false" hidden="false" name="lst_Usuarios" vbProcedure="false">Usuario!$A$3:$A$202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<sst xmlns="http://schemas.openxmlformats.org/spreadsheetml/2006/main" count="322" uniqueCount="187">
  <si>
    <t xml:space="preserve">Carga inicial — banco LISIMETRO (site de noticias)</t>
  </si>
  <si>
    <t xml:space="preserve">Planilha espelho das tabelas do banco. Cada aba colorida corresponde a uma tabela. Preencha, devolva o arquivo, e a carga sobe para o SQL Server.</t>
  </si>
  <si>
    <t xml:space="preserve">Ordem de preenchimento (respeita as chaves estrangeiras)</t>
  </si>
  <si>
    <t xml:space="preserve">1. Categorias  — precisa existir antes dos posts</t>
  </si>
  <si>
    <t xml:space="preserve">2. Usuario     — autores, moderadores e leitores</t>
  </si>
  <si>
    <t xml:space="preserve">3. Posts       — usa categoria e autor ja cadastrados nas abas acima</t>
  </si>
  <si>
    <t xml:space="preserve">4. Comentarios — usa post e usuario ja cadastrados</t>
  </si>
  <si>
    <t xml:space="preserve">Fora dessa ordem as listas suspensas de Posts e Comentarios aparecem vazias.</t>
  </si>
  <si>
    <t xml:space="preserve">Legenda</t>
  </si>
  <si>
    <t xml:space="preserve">Cabecalho azul escuro = colunas para preencher. O asterisco (*) marca obrigatorio.</t>
  </si>
  <si>
    <t xml:space="preserve">Linha cinza abaixo do cabecalho = tipo, tamanho e regra da coluna. Nao apague.</t>
  </si>
  <si>
    <t xml:space="preserve">Linha 3, em amarelo e azul = EXEMPLO. Apague o conteudo dela antes de gerar a carga (apague os valores, nao a linha).</t>
  </si>
  <si>
    <t xml:space="preserve">Cabecalho verde = SQL gerado automaticamente. Nao edite, nao apague.</t>
  </si>
  <si>
    <t xml:space="preserve">Aba Listas = alimenta as listas suspensas. Nao mexer.</t>
  </si>
  <si>
    <t xml:space="preserve">Regras que o banco vai cobrar</t>
  </si>
  <si>
    <t xml:space="preserve">Colunas de ID (ID_Usuario, ID_Categoria, ID_Post, ID_Comentario) nao aparecem aqui: sao IDENTITY, o SQL Server gera sozinho.</t>
  </si>
  <si>
    <t xml:space="preserve">As chaves estrangeiras sao preenchidas pela chave natural (NomeCategoria, NomeUsuario, URL_Post) e a carga resolve o ID.</t>
  </si>
  <si>
    <t xml:space="preserve">NomeUsuario, Email, NomeCategoria e URL_Post sao UNIQUE: nao repita valores.</t>
  </si>
  <si>
    <t xml:space="preserve">Datas em texto, formato AAAA-MM-DD HH:MM:SS (ex.: 2026-09-21 14:30:00). As colunas ja estao formatadas como texto.</t>
  </si>
  <si>
    <t xml:space="preserve">Senha: escreva a senha provisoria em texto. A carga aplica HASHBYTES('SHA2_512', ...) e so o hash entra no banco (SenhaHash VARBINARY(64)).</t>
  </si>
  <si>
    <t xml:space="preserve">Comentario com status Aprovado ou Rejeitado deve trazer moderador e DataModeracao.</t>
  </si>
  <si>
    <t xml:space="preserve">Como subir a carga (caminho rapido)</t>
  </si>
  <si>
    <t xml:space="preserve">1. Confira a aba Dicionario_Dados para ver os limites de tamanho de cada coluna.</t>
  </si>
  <si>
    <t xml:space="preserve">2. Abra a aba, selecione a coluna verde 'SQL gerado' inteira e copie.</t>
  </si>
  <si>
    <t xml:space="preserve">3. No SSMS, conectado ao banco LISIMETRO, cole e execute.</t>
  </si>
  <si>
    <t xml:space="preserve">4. Repita na ordem Categorias &gt; Usuario &gt; Posts &gt; Comentarios.</t>
  </si>
  <si>
    <t xml:space="preserve">Todo INSERT tem WHERE NOT EXISTS: rodar duas vezes nao duplica registro.</t>
  </si>
  <si>
    <t xml:space="preserve">Como subir a carga (caminho em volume)</t>
  </si>
  <si>
    <t xml:space="preserve">Para muitas linhas, use o arquivo carga_inicial.sql que acompanha a planilha: ele cria tabelas de staging, voce importa cada aba pelo assistente de importacao do SSMS e roda os INSERT ... SELECT com as buscas de chave ja prontas.</t>
  </si>
  <si>
    <t xml:space="preserve">Duvida no preenchimento</t>
  </si>
  <si>
    <t xml:space="preserve">Fale com o responsavel pelo banco antes de inventar valor em coluna obrigatoria. Linha incompleta trava a carga inteira da aba.</t>
  </si>
  <si>
    <t xml:space="preserve">Tabela</t>
  </si>
  <si>
    <t xml:space="preserve">Coluna</t>
  </si>
  <si>
    <t xml:space="preserve">Tipo</t>
  </si>
  <si>
    <t xml:space="preserve">Nulo?</t>
  </si>
  <si>
    <t xml:space="preserve">Default</t>
  </si>
  <si>
    <t xml:space="preserve">Chave</t>
  </si>
  <si>
    <t xml:space="preserve">Regra / CHECK</t>
  </si>
  <si>
    <t xml:space="preserve">Na planilha?</t>
  </si>
  <si>
    <t xml:space="preserve">Observacao</t>
  </si>
  <si>
    <t xml:space="preserve">Usuario</t>
  </si>
  <si>
    <t xml:space="preserve">ID_Usuario</t>
  </si>
  <si>
    <t xml:space="preserve">INT IDENTITY(1,1)</t>
  </si>
  <si>
    <t xml:space="preserve">NAO</t>
  </si>
  <si>
    <t xml:space="preserve">identidade</t>
  </si>
  <si>
    <t xml:space="preserve">PK</t>
  </si>
  <si>
    <t xml:space="preserve">Nao</t>
  </si>
  <si>
    <t xml:space="preserve">Gerado pelo banco</t>
  </si>
  <si>
    <t xml:space="preserve">NomeUsuario</t>
  </si>
  <si>
    <t xml:space="preserve">VARCHAR(100)</t>
  </si>
  <si>
    <t xml:space="preserve">UNIQUE</t>
  </si>
  <si>
    <t xml:space="preserve">Sim</t>
  </si>
  <si>
    <t xml:space="preserve">Login publico do usuario</t>
  </si>
  <si>
    <t xml:space="preserve">Email</t>
  </si>
  <si>
    <t xml:space="preserve">VARCHAR(255)</t>
  </si>
  <si>
    <t xml:space="preserve">Um e-mail por conta</t>
  </si>
  <si>
    <t xml:space="preserve">TipoUsuario</t>
  </si>
  <si>
    <t xml:space="preserve">VARCHAR(20)</t>
  </si>
  <si>
    <t xml:space="preserve">IN ('Leitor','Moderador','Admin')</t>
  </si>
  <si>
    <t xml:space="preserve">Sim (lista)</t>
  </si>
  <si>
    <t xml:space="preserve">Define o que a conta pode fazer</t>
  </si>
  <si>
    <t xml:space="preserve">SenhaHash</t>
  </si>
  <si>
    <t xml:space="preserve">VARBINARY(64)</t>
  </si>
  <si>
    <t xml:space="preserve">Sim (senha em texto)</t>
  </si>
  <si>
    <t xml:space="preserve">A carga aplica HASHBYTES('SHA2_512', senha)</t>
  </si>
  <si>
    <t xml:space="preserve">DataCadastro</t>
  </si>
  <si>
    <t xml:space="preserve">DATETIME2</t>
  </si>
  <si>
    <t xml:space="preserve">SYSDATETIME()</t>
  </si>
  <si>
    <t xml:space="preserve">Sim (opcional)</t>
  </si>
  <si>
    <t xml:space="preserve">Vazio = data/hora da carga</t>
  </si>
  <si>
    <t xml:space="preserve">Ativo</t>
  </si>
  <si>
    <t xml:space="preserve">BIT</t>
  </si>
  <si>
    <t xml:space="preserve">1</t>
  </si>
  <si>
    <t xml:space="preserve">1 ou 0</t>
  </si>
  <si>
    <t xml:space="preserve">Desativa em vez de apagar</t>
  </si>
  <si>
    <t xml:space="preserve">Categorias</t>
  </si>
  <si>
    <t xml:space="preserve">ID_Categoria</t>
  </si>
  <si>
    <t xml:space="preserve">NomeCategoria</t>
  </si>
  <si>
    <t xml:space="preserve">VARCHAR(50)</t>
  </si>
  <si>
    <t xml:space="preserve">Chave natural usada nas outras abas</t>
  </si>
  <si>
    <t xml:space="preserve">DescricaoCategoria</t>
  </si>
  <si>
    <t xml:space="preserve">SIM</t>
  </si>
  <si>
    <t xml:space="preserve">Posts</t>
  </si>
  <si>
    <t xml:space="preserve">ID_Post</t>
  </si>
  <si>
    <t xml:space="preserve">Titulo_Post</t>
  </si>
  <si>
    <t xml:space="preserve">Resumo</t>
  </si>
  <si>
    <t xml:space="preserve">VARCHAR(1000)</t>
  </si>
  <si>
    <t xml:space="preserve">Chamada curta da noticia</t>
  </si>
  <si>
    <t xml:space="preserve">URL_Post</t>
  </si>
  <si>
    <t xml:space="preserve">VARCHAR(850)</t>
  </si>
  <si>
    <t xml:space="preserve">Evita gravar a mesma noticia duas vezes</t>
  </si>
  <si>
    <t xml:space="preserve">URL_Imagem</t>
  </si>
  <si>
    <t xml:space="preserve">Fonte</t>
  </si>
  <si>
    <t xml:space="preserve">Veiculo de origem</t>
  </si>
  <si>
    <t xml:space="preserve">INT</t>
  </si>
  <si>
    <t xml:space="preserve">FK -&gt; Categorias</t>
  </si>
  <si>
    <t xml:space="preserve">Sim (por NomeCategoria)</t>
  </si>
  <si>
    <t xml:space="preserve">A carga resolve o ID</t>
  </si>
  <si>
    <t xml:space="preserve">ID_Autor</t>
  </si>
  <si>
    <t xml:space="preserve">FK -&gt; Usuario</t>
  </si>
  <si>
    <t xml:space="preserve">Sim (por NomeUsuario)</t>
  </si>
  <si>
    <t xml:space="preserve">Vazio = noticia sem autor interno</t>
  </si>
  <si>
    <t xml:space="preserve">DataPublicacao</t>
  </si>
  <si>
    <t xml:space="preserve">Quando saiu na fonte</t>
  </si>
  <si>
    <t xml:space="preserve">DataColeta</t>
  </si>
  <si>
    <t xml:space="preserve">Quando entrou no nosso banco</t>
  </si>
  <si>
    <t xml:space="preserve">Comentarios</t>
  </si>
  <si>
    <t xml:space="preserve">ID_Comentario</t>
  </si>
  <si>
    <t xml:space="preserve">FK -&gt; Posts</t>
  </si>
  <si>
    <t xml:space="preserve">Sim (por URL_Post)</t>
  </si>
  <si>
    <t xml:space="preserve">Quem comentou</t>
  </si>
  <si>
    <t xml:space="preserve">Texto</t>
  </si>
  <si>
    <t xml:space="preserve">VARCHAR(MAX)</t>
  </si>
  <si>
    <t xml:space="preserve">DataComentario</t>
  </si>
  <si>
    <t xml:space="preserve">Status_Moderacao</t>
  </si>
  <si>
    <t xml:space="preserve">'Pendente'</t>
  </si>
  <si>
    <t xml:space="preserve">IN ('Pendente','Aprovado','Rejeitado')</t>
  </si>
  <si>
    <t xml:space="preserve">ID_Moderador</t>
  </si>
  <si>
    <t xml:space="preserve">Quem aprovou ou rejeitou</t>
  </si>
  <si>
    <t xml:space="preserve">DataModeracao</t>
  </si>
  <si>
    <t xml:space="preserve">Preencher junto com o moderador</t>
  </si>
  <si>
    <t xml:space="preserve">Indices existentes</t>
  </si>
  <si>
    <t xml:space="preserve">IX_Posts_Categoria_Data</t>
  </si>
  <si>
    <t xml:space="preserve">Posts (ID_Categoria, DataPublicacao DESC)</t>
  </si>
  <si>
    <t xml:space="preserve">IX_Comentarios_Post</t>
  </si>
  <si>
    <t xml:space="preserve">Comentarios (ID_Post, Status_Moderacao)</t>
  </si>
  <si>
    <t xml:space="preserve">Fonte: script de criacao das tabelas enviado pelo responsavel pelo banco (banco LISIMETRO), em 2026-09-21.</t>
  </si>
  <si>
    <t xml:space="preserve">NomeCategoria *</t>
  </si>
  <si>
    <t xml:space="preserve">SQL gerado (nao editar)</t>
  </si>
  <si>
    <t xml:space="preserve">VARCHAR(50) · unico · obrigatorio</t>
  </si>
  <si>
    <t xml:space="preserve">VARCHAR(255) · opcional</t>
  </si>
  <si>
    <t xml:space="preserve">Gerado automaticamente. Copie esta coluna inteira e cole no SSMS para rodar a carga.</t>
  </si>
  <si>
    <t xml:space="preserve">Tecnologia</t>
  </si>
  <si>
    <t xml:space="preserve">Noticias sobre tecnologia, software e inovacao</t>
  </si>
  <si>
    <t xml:space="preserve">NomeUsuario *</t>
  </si>
  <si>
    <t xml:space="preserve">Email *</t>
  </si>
  <si>
    <t xml:space="preserve">TipoUsuario *</t>
  </si>
  <si>
    <t xml:space="preserve">SenhaProvisoria *</t>
  </si>
  <si>
    <t xml:space="preserve">Ativo *</t>
  </si>
  <si>
    <t xml:space="preserve">VARCHAR(100) · unico · obrigatorio</t>
  </si>
  <si>
    <t xml:space="preserve">VARCHAR(255) · unico · obrigatorio</t>
  </si>
  <si>
    <t xml:space="preserve">Leitor | Moderador | Admin</t>
  </si>
  <si>
    <t xml:space="preserve">Texto puro SO NA PLANILHA · vira hash SHA2_512 na carga</t>
  </si>
  <si>
    <t xml:space="preserve">AAAA-MM-DD HH:MM:SS · vazio = data/hora da carga</t>
  </si>
  <si>
    <t xml:space="preserve">1 = ativo · 0 = desativado</t>
  </si>
  <si>
    <t xml:space="preserve">wjunior</t>
  </si>
  <si>
    <t xml:space="preserve">wjunior@exemplo.com</t>
  </si>
  <si>
    <t xml:space="preserve">Admin</t>
  </si>
  <si>
    <t xml:space="preserve">Troca@2026</t>
  </si>
  <si>
    <t xml:space="preserve">2026-09-21 09:00:00</t>
  </si>
  <si>
    <t xml:space="preserve">Titulo_Post *</t>
  </si>
  <si>
    <t xml:space="preserve">URL_Post *</t>
  </si>
  <si>
    <t xml:space="preserve">NomeUsuario_Autor</t>
  </si>
  <si>
    <t xml:space="preserve">DataPublicacao *</t>
  </si>
  <si>
    <t xml:space="preserve">VARCHAR(255) · obrigatorio</t>
  </si>
  <si>
    <t xml:space="preserve">VARCHAR(1000) · opcional</t>
  </si>
  <si>
    <t xml:space="preserve">VARCHAR(850) · unico · obrigatorio · nao repetir</t>
  </si>
  <si>
    <t xml:space="preserve">VARCHAR(850) · opcional</t>
  </si>
  <si>
    <t xml:space="preserve">VARCHAR(100) · opcional · ex.: G1, Agencia Brasil</t>
  </si>
  <si>
    <t xml:space="preserve">Obrigatorio · escolha da lista (aba Categorias)</t>
  </si>
  <si>
    <t xml:space="preserve">Opcional · escolha da lista (aba Usuario)</t>
  </si>
  <si>
    <t xml:space="preserve">AAAA-MM-DD HH:MM:SS · obrigatorio</t>
  </si>
  <si>
    <t xml:space="preserve">Novo lisimetro monitora consumo de agua em tempo real</t>
  </si>
  <si>
    <t xml:space="preserve">Equipamento instalado no campus mede a evapotranspiracao com precisao de 0,1 mm.</t>
  </si>
  <si>
    <t xml:space="preserve">https://exemplo.com/noticias/lisimetro-tempo-real</t>
  </si>
  <si>
    <t xml:space="preserve">https://exemplo.com/img/lisimetro.jpg</t>
  </si>
  <si>
    <t xml:space="preserve">Agencia Brasil</t>
  </si>
  <si>
    <t xml:space="preserve">2026-09-20 08:30:00</t>
  </si>
  <si>
    <t xml:space="preserve">2026-09-21 09:05:00</t>
  </si>
  <si>
    <t xml:space="preserve">NomeUsuario_Autor *</t>
  </si>
  <si>
    <t xml:space="preserve">Texto *</t>
  </si>
  <si>
    <t xml:space="preserve">NomeUsuario_Moderador</t>
  </si>
  <si>
    <t xml:space="preserve">Obrigatorio · escolha da lista (aba Posts)</t>
  </si>
  <si>
    <t xml:space="preserve">Obrigatorio · escolha da lista (aba Usuario)</t>
  </si>
  <si>
    <t xml:space="preserve">VARCHAR(MAX) · obrigatorio</t>
  </si>
  <si>
    <t xml:space="preserve">Pendente | Aprovado | Rejeitado · vazio = Pendente</t>
  </si>
  <si>
    <t xml:space="preserve">Opcional · obrigatorio se o status nao for Pendente</t>
  </si>
  <si>
    <t xml:space="preserve">AAAA-MM-DD HH:MM:SS · opcional</t>
  </si>
  <si>
    <t xml:space="preserve">Muito bom o equipamento, ja queria ver os dados abertos.</t>
  </si>
  <si>
    <t xml:space="preserve">2026-09-20 10:15:00</t>
  </si>
  <si>
    <t xml:space="preserve">Aprovado</t>
  </si>
  <si>
    <t xml:space="preserve">2026-09-20 11:00:00</t>
  </si>
  <si>
    <t xml:space="preserve">Leitor</t>
  </si>
  <si>
    <t xml:space="preserve">Pendente</t>
  </si>
  <si>
    <t xml:space="preserve">Moderador</t>
  </si>
  <si>
    <t xml:space="preserve">Rejeitado</t>
  </si>
  <si>
    <t xml:space="preserve">Aba de apoio: alimenta as listas suspensas. Nao apagar.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</si>
</sst>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A6272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9"/>
      <color rgb="FF1F6F3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1F8"/>
        <bgColor rgb="FFF6EEF7"/>
      </patternFill>
    </fill>
    <fill>
      <patternFill patternType="solid">
        <fgColor rgb="FFF2F7ED"/>
        <bgColor rgb="FFEDF1F8"/>
      </patternFill>
    </fill>
    <fill>
      <patternFill patternType="solid">
        <fgColor rgb="FFFDF3EC"/>
        <bgColor rgb="FFF6EEF7"/>
      </patternFill>
    </fill>
    <fill>
      <patternFill patternType="solid">
        <fgColor rgb="FFF6EEF7"/>
        <bgColor rgb="FFEDF1F8"/>
      </patternFill>
    </fill>
    <fill>
      <patternFill patternType="solid">
        <fgColor rgb="FF1F6F3D"/>
        <bgColor rgb="FF008080"/>
      </patternFill>
    </fill>
    <fill>
      <patternFill patternType="solid">
        <fgColor rgb="FFFFF7D6"/>
        <bgColor rgb="FFFD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D6"/>
      <rgbColor rgb="FFED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ED"/>
      <rgbColor rgb="FFF6EEF7"/>
      <rgbColor rgb="FFFDF3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A627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4" hidden="false" customHeight="tru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9.5" hidden="false" customHeight="true" outlineLevel="0" collapsed="false">
      <c r="B5" s="3" t="s">
        <v>2</v>
      </c>
    </row>
    <row r="6" customFormat="false" ht="15" hidden="false" customHeight="true" outlineLevel="0" collapsed="false">
      <c r="B6" s="2" t="s">
        <v>3</v>
      </c>
    </row>
    <row r="7" customFormat="false" ht="15" hidden="false" customHeight="true" outlineLevel="0" collapsed="false">
      <c r="B7" s="2" t="s">
        <v>4</v>
      </c>
    </row>
    <row r="8" customFormat="false" ht="15" hidden="false" customHeight="true" outlineLevel="0" collapsed="false">
      <c r="B8" s="2" t="s">
        <v>5</v>
      </c>
    </row>
    <row r="9" customFormat="false" ht="15" hidden="false" customHeight="true" outlineLevel="0" collapsed="false">
      <c r="B9" s="2" t="s">
        <v>6</v>
      </c>
    </row>
    <row r="10" customFormat="false" ht="15" hidden="false" customHeight="true" outlineLevel="0" collapsed="false">
      <c r="B10" s="2" t="s">
        <v>7</v>
      </c>
    </row>
    <row r="11" customFormat="false" ht="15" hidden="false" customHeight="false" outlineLevel="0" collapsed="false">
      <c r="B11" s="2"/>
    </row>
    <row r="12" customFormat="false" ht="19.5" hidden="false" customHeight="true" outlineLevel="0" collapsed="false">
      <c r="B12" s="3" t="s">
        <v>8</v>
      </c>
    </row>
    <row r="13" customFormat="false" ht="15" hidden="false" customHeight="true" outlineLevel="0" collapsed="false">
      <c r="B13" s="2" t="s">
        <v>9</v>
      </c>
    </row>
    <row r="14" customFormat="false" ht="15" hidden="false" customHeight="true" outlineLevel="0" collapsed="false">
      <c r="B14" s="2" t="s">
        <v>10</v>
      </c>
    </row>
    <row r="15" customFormat="false" ht="27.75" hidden="false" customHeight="true" outlineLevel="0" collapsed="false">
      <c r="B15" s="2" t="s">
        <v>11</v>
      </c>
    </row>
    <row r="16" customFormat="false" ht="15" hidden="false" customHeight="true" outlineLevel="0" collapsed="false">
      <c r="B16" s="2" t="s">
        <v>12</v>
      </c>
    </row>
    <row r="17" customFormat="false" ht="15" hidden="false" customHeight="tru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9.5" hidden="false" customHeight="true" outlineLevel="0" collapsed="false">
      <c r="B19" s="3" t="s">
        <v>14</v>
      </c>
    </row>
    <row r="20" customFormat="false" ht="27.75" hidden="false" customHeight="true" outlineLevel="0" collapsed="false">
      <c r="B20" s="2" t="s">
        <v>15</v>
      </c>
    </row>
    <row r="21" customFormat="false" ht="27.75" hidden="false" customHeight="true" outlineLevel="0" collapsed="false">
      <c r="B21" s="2" t="s">
        <v>16</v>
      </c>
    </row>
    <row r="22" customFormat="false" ht="15" hidden="false" customHeight="true" outlineLevel="0" collapsed="false">
      <c r="B22" s="2" t="s">
        <v>17</v>
      </c>
    </row>
    <row r="23" customFormat="false" ht="27.75" hidden="false" customHeight="true" outlineLevel="0" collapsed="false">
      <c r="B23" s="2" t="s">
        <v>18</v>
      </c>
    </row>
    <row r="24" customFormat="false" ht="27.75" hidden="false" customHeight="true" outlineLevel="0" collapsed="false">
      <c r="B24" s="2" t="s">
        <v>19</v>
      </c>
    </row>
    <row r="25" customFormat="false" ht="15" hidden="false" customHeight="true" outlineLevel="0" collapsed="false">
      <c r="B25" s="2" t="s">
        <v>20</v>
      </c>
    </row>
    <row r="26" customFormat="false" ht="15" hidden="false" customHeight="false" outlineLevel="0" collapsed="false">
      <c r="B26" s="2"/>
    </row>
    <row r="27" customFormat="false" ht="19.5" hidden="false" customHeight="true" outlineLevel="0" collapsed="false">
      <c r="B27" s="3" t="s">
        <v>21</v>
      </c>
    </row>
    <row r="28" customFormat="false" ht="15" hidden="false" customHeight="true" outlineLevel="0" collapsed="false">
      <c r="B28" s="2" t="s">
        <v>22</v>
      </c>
    </row>
    <row r="29" customFormat="false" ht="15" hidden="false" customHeight="true" outlineLevel="0" collapsed="false">
      <c r="B29" s="2" t="s">
        <v>23</v>
      </c>
    </row>
    <row r="30" customFormat="false" ht="15" hidden="false" customHeight="true" outlineLevel="0" collapsed="false">
      <c r="B30" s="2" t="s">
        <v>24</v>
      </c>
    </row>
    <row r="31" customFormat="false" ht="15" hidden="false" customHeight="true" outlineLevel="0" collapsed="false">
      <c r="B31" s="2" t="s">
        <v>25</v>
      </c>
    </row>
    <row r="32" customFormat="false" ht="15" hidden="false" customHeight="true" outlineLevel="0" collapsed="false">
      <c r="B32" s="2" t="s">
        <v>26</v>
      </c>
    </row>
    <row r="33" customFormat="false" ht="15" hidden="false" customHeight="false" outlineLevel="0" collapsed="false">
      <c r="B33" s="2"/>
    </row>
    <row r="34" customFormat="false" ht="19.5" hidden="false" customHeight="true" outlineLevel="0" collapsed="false">
      <c r="B34" s="3" t="s">
        <v>27</v>
      </c>
    </row>
    <row r="35" customFormat="false" ht="27.75" hidden="false" customHeight="true" outlineLevel="0" collapsed="false">
      <c r="B35" s="2" t="s">
        <v>28</v>
      </c>
    </row>
    <row r="36" customFormat="false" ht="15" hidden="false" customHeight="false" outlineLevel="0" collapsed="false">
      <c r="B36" s="2"/>
    </row>
    <row r="37" customFormat="false" ht="19.5" hidden="false" customHeight="true" outlineLevel="0" collapsed="false">
      <c r="B37" s="3" t="s">
        <v>29</v>
      </c>
    </row>
    <row r="38" customFormat="false" ht="27.75" hidden="false" customHeight="true" outlineLevel="0" collapsed="false">
      <c r="B3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customFormat="false" ht="15" hidden="false" customHeight="false" outlineLevel="0" collapsed="false">
      <c r="A2" s="5" t="s">
        <v>40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/>
      <c r="H2" s="5" t="s">
        <v>46</v>
      </c>
      <c r="I2" s="7" t="s">
        <v>47</v>
      </c>
    </row>
    <row r="3" customFormat="false" ht="15" hidden="false" customHeight="false" outlineLevel="0" collapsed="false">
      <c r="A3" s="5" t="s">
        <v>40</v>
      </c>
      <c r="B3" s="5" t="s">
        <v>48</v>
      </c>
      <c r="C3" s="5" t="s">
        <v>49</v>
      </c>
      <c r="D3" s="6" t="s">
        <v>43</v>
      </c>
      <c r="E3" s="5"/>
      <c r="F3" s="5" t="s">
        <v>50</v>
      </c>
      <c r="G3" s="5"/>
      <c r="H3" s="5" t="s">
        <v>51</v>
      </c>
      <c r="I3" s="7" t="s">
        <v>52</v>
      </c>
    </row>
    <row r="4" customFormat="false" ht="15" hidden="false" customHeight="false" outlineLevel="0" collapsed="false">
      <c r="A4" s="5" t="s">
        <v>40</v>
      </c>
      <c r="B4" s="5" t="s">
        <v>53</v>
      </c>
      <c r="C4" s="5" t="s">
        <v>54</v>
      </c>
      <c r="D4" s="6" t="s">
        <v>43</v>
      </c>
      <c r="E4" s="5"/>
      <c r="F4" s="5" t="s">
        <v>50</v>
      </c>
      <c r="G4" s="5"/>
      <c r="H4" s="5" t="s">
        <v>51</v>
      </c>
      <c r="I4" s="7" t="s">
        <v>55</v>
      </c>
    </row>
    <row r="5" customFormat="false" ht="15" hidden="false" customHeight="false" outlineLevel="0" collapsed="false">
      <c r="A5" s="5" t="s">
        <v>40</v>
      </c>
      <c r="B5" s="5" t="s">
        <v>56</v>
      </c>
      <c r="C5" s="5" t="s">
        <v>57</v>
      </c>
      <c r="D5" s="6" t="s">
        <v>43</v>
      </c>
      <c r="E5" s="5"/>
      <c r="F5" s="5"/>
      <c r="G5" s="5" t="s">
        <v>58</v>
      </c>
      <c r="H5" s="5" t="s">
        <v>59</v>
      </c>
      <c r="I5" s="7" t="s">
        <v>60</v>
      </c>
    </row>
    <row r="6" customFormat="false" ht="15" hidden="false" customHeight="false" outlineLevel="0" collapsed="false">
      <c r="A6" s="5" t="s">
        <v>40</v>
      </c>
      <c r="B6" s="5" t="s">
        <v>61</v>
      </c>
      <c r="C6" s="5" t="s">
        <v>62</v>
      </c>
      <c r="D6" s="6" t="s">
        <v>43</v>
      </c>
      <c r="E6" s="5"/>
      <c r="F6" s="5"/>
      <c r="G6" s="5"/>
      <c r="H6" s="5" t="s">
        <v>63</v>
      </c>
      <c r="I6" s="7" t="s">
        <v>64</v>
      </c>
    </row>
    <row r="7" customFormat="false" ht="15" hidden="false" customHeight="false" outlineLevel="0" collapsed="false">
      <c r="A7" s="5" t="s">
        <v>40</v>
      </c>
      <c r="B7" s="5" t="s">
        <v>65</v>
      </c>
      <c r="C7" s="5" t="s">
        <v>66</v>
      </c>
      <c r="D7" s="6" t="s">
        <v>43</v>
      </c>
      <c r="E7" s="5" t="s">
        <v>67</v>
      </c>
      <c r="F7" s="5"/>
      <c r="G7" s="5"/>
      <c r="H7" s="5" t="s">
        <v>68</v>
      </c>
      <c r="I7" s="7" t="s">
        <v>69</v>
      </c>
    </row>
    <row r="8" customFormat="false" ht="15" hidden="false" customHeight="false" outlineLevel="0" collapsed="false">
      <c r="A8" s="5" t="s">
        <v>40</v>
      </c>
      <c r="B8" s="5" t="s">
        <v>70</v>
      </c>
      <c r="C8" s="5" t="s">
        <v>71</v>
      </c>
      <c r="D8" s="6" t="s">
        <v>43</v>
      </c>
      <c r="E8" s="5" t="s">
        <v>72</v>
      </c>
      <c r="F8" s="5"/>
      <c r="G8" s="5" t="s">
        <v>73</v>
      </c>
      <c r="H8" s="5" t="s">
        <v>59</v>
      </c>
      <c r="I8" s="7" t="s">
        <v>74</v>
      </c>
    </row>
    <row r="9" customFormat="false" ht="15" hidden="false" customHeight="false" outlineLevel="0" collapsed="false">
      <c r="A9" s="8" t="s">
        <v>75</v>
      </c>
      <c r="B9" s="8" t="s">
        <v>76</v>
      </c>
      <c r="C9" s="8" t="s">
        <v>42</v>
      </c>
      <c r="D9" s="9" t="s">
        <v>43</v>
      </c>
      <c r="E9" s="8" t="s">
        <v>44</v>
      </c>
      <c r="F9" s="8" t="s">
        <v>45</v>
      </c>
      <c r="G9" s="8"/>
      <c r="H9" s="8" t="s">
        <v>46</v>
      </c>
      <c r="I9" s="10" t="s">
        <v>47</v>
      </c>
    </row>
    <row r="10" customFormat="false" ht="15" hidden="false" customHeight="false" outlineLevel="0" collapsed="false">
      <c r="A10" s="8" t="s">
        <v>75</v>
      </c>
      <c r="B10" s="8" t="s">
        <v>77</v>
      </c>
      <c r="C10" s="8" t="s">
        <v>78</v>
      </c>
      <c r="D10" s="9" t="s">
        <v>43</v>
      </c>
      <c r="E10" s="8"/>
      <c r="F10" s="8" t="s">
        <v>50</v>
      </c>
      <c r="G10" s="8"/>
      <c r="H10" s="8" t="s">
        <v>51</v>
      </c>
      <c r="I10" s="10" t="s">
        <v>79</v>
      </c>
    </row>
    <row r="11" customFormat="false" ht="15" hidden="false" customHeight="false" outlineLevel="0" collapsed="false">
      <c r="A11" s="8" t="s">
        <v>75</v>
      </c>
      <c r="B11" s="8" t="s">
        <v>80</v>
      </c>
      <c r="C11" s="8" t="s">
        <v>54</v>
      </c>
      <c r="D11" s="8" t="s">
        <v>81</v>
      </c>
      <c r="E11" s="8"/>
      <c r="F11" s="8"/>
      <c r="G11" s="8"/>
      <c r="H11" s="8" t="s">
        <v>68</v>
      </c>
      <c r="I11" s="10"/>
    </row>
    <row r="12" customFormat="false" ht="15" hidden="false" customHeight="false" outlineLevel="0" collapsed="false">
      <c r="A12" s="11" t="s">
        <v>82</v>
      </c>
      <c r="B12" s="11" t="s">
        <v>83</v>
      </c>
      <c r="C12" s="11" t="s">
        <v>42</v>
      </c>
      <c r="D12" s="12" t="s">
        <v>43</v>
      </c>
      <c r="E12" s="11" t="s">
        <v>44</v>
      </c>
      <c r="F12" s="11" t="s">
        <v>45</v>
      </c>
      <c r="G12" s="11"/>
      <c r="H12" s="11" t="s">
        <v>46</v>
      </c>
      <c r="I12" s="13" t="s">
        <v>47</v>
      </c>
    </row>
    <row r="13" customFormat="false" ht="15" hidden="false" customHeight="false" outlineLevel="0" collapsed="false">
      <c r="A13" s="11" t="s">
        <v>82</v>
      </c>
      <c r="B13" s="11" t="s">
        <v>84</v>
      </c>
      <c r="C13" s="11" t="s">
        <v>54</v>
      </c>
      <c r="D13" s="12" t="s">
        <v>43</v>
      </c>
      <c r="E13" s="11"/>
      <c r="F13" s="11"/>
      <c r="G13" s="11"/>
      <c r="H13" s="11" t="s">
        <v>51</v>
      </c>
      <c r="I13" s="13"/>
    </row>
    <row r="14" customFormat="false" ht="15" hidden="false" customHeight="false" outlineLevel="0" collapsed="false">
      <c r="A14" s="11" t="s">
        <v>82</v>
      </c>
      <c r="B14" s="11" t="s">
        <v>85</v>
      </c>
      <c r="C14" s="11" t="s">
        <v>86</v>
      </c>
      <c r="D14" s="11" t="s">
        <v>81</v>
      </c>
      <c r="E14" s="11"/>
      <c r="F14" s="11"/>
      <c r="G14" s="11"/>
      <c r="H14" s="11" t="s">
        <v>68</v>
      </c>
      <c r="I14" s="13" t="s">
        <v>87</v>
      </c>
    </row>
    <row r="15" customFormat="false" ht="15" hidden="false" customHeight="false" outlineLevel="0" collapsed="false">
      <c r="A15" s="11" t="s">
        <v>82</v>
      </c>
      <c r="B15" s="11" t="s">
        <v>88</v>
      </c>
      <c r="C15" s="11" t="s">
        <v>89</v>
      </c>
      <c r="D15" s="12" t="s">
        <v>43</v>
      </c>
      <c r="E15" s="11"/>
      <c r="F15" s="11" t="s">
        <v>50</v>
      </c>
      <c r="G15" s="11"/>
      <c r="H15" s="11" t="s">
        <v>51</v>
      </c>
      <c r="I15" s="13" t="s">
        <v>90</v>
      </c>
    </row>
    <row r="16" customFormat="false" ht="15" hidden="false" customHeight="false" outlineLevel="0" collapsed="false">
      <c r="A16" s="11" t="s">
        <v>82</v>
      </c>
      <c r="B16" s="11" t="s">
        <v>91</v>
      </c>
      <c r="C16" s="11" t="s">
        <v>89</v>
      </c>
      <c r="D16" s="11" t="s">
        <v>81</v>
      </c>
      <c r="E16" s="11"/>
      <c r="F16" s="11"/>
      <c r="G16" s="11"/>
      <c r="H16" s="11" t="s">
        <v>68</v>
      </c>
      <c r="I16" s="13"/>
    </row>
    <row r="17" customFormat="false" ht="15" hidden="false" customHeight="false" outlineLevel="0" collapsed="false">
      <c r="A17" s="11" t="s">
        <v>82</v>
      </c>
      <c r="B17" s="11" t="s">
        <v>92</v>
      </c>
      <c r="C17" s="11" t="s">
        <v>49</v>
      </c>
      <c r="D17" s="11" t="s">
        <v>81</v>
      </c>
      <c r="E17" s="11"/>
      <c r="F17" s="11"/>
      <c r="G17" s="11"/>
      <c r="H17" s="11" t="s">
        <v>68</v>
      </c>
      <c r="I17" s="13" t="s">
        <v>93</v>
      </c>
    </row>
    <row r="18" customFormat="false" ht="15" hidden="false" customHeight="false" outlineLevel="0" collapsed="false">
      <c r="A18" s="11" t="s">
        <v>82</v>
      </c>
      <c r="B18" s="11" t="s">
        <v>76</v>
      </c>
      <c r="C18" s="11" t="s">
        <v>94</v>
      </c>
      <c r="D18" s="12" t="s">
        <v>43</v>
      </c>
      <c r="E18" s="11"/>
      <c r="F18" s="11" t="s">
        <v>95</v>
      </c>
      <c r="G18" s="11"/>
      <c r="H18" s="11" t="s">
        <v>96</v>
      </c>
      <c r="I18" s="13" t="s">
        <v>97</v>
      </c>
    </row>
    <row r="19" customFormat="false" ht="15" hidden="false" customHeight="false" outlineLevel="0" collapsed="false">
      <c r="A19" s="11" t="s">
        <v>82</v>
      </c>
      <c r="B19" s="11" t="s">
        <v>98</v>
      </c>
      <c r="C19" s="11" t="s">
        <v>94</v>
      </c>
      <c r="D19" s="11" t="s">
        <v>81</v>
      </c>
      <c r="E19" s="11"/>
      <c r="F19" s="11" t="s">
        <v>99</v>
      </c>
      <c r="G19" s="11"/>
      <c r="H19" s="11" t="s">
        <v>100</v>
      </c>
      <c r="I19" s="13" t="s">
        <v>101</v>
      </c>
    </row>
    <row r="20" customFormat="false" ht="15" hidden="false" customHeight="false" outlineLevel="0" collapsed="false">
      <c r="A20" s="11" t="s">
        <v>82</v>
      </c>
      <c r="B20" s="11" t="s">
        <v>102</v>
      </c>
      <c r="C20" s="11" t="s">
        <v>66</v>
      </c>
      <c r="D20" s="12" t="s">
        <v>43</v>
      </c>
      <c r="E20" s="11"/>
      <c r="F20" s="11"/>
      <c r="G20" s="11"/>
      <c r="H20" s="11" t="s">
        <v>51</v>
      </c>
      <c r="I20" s="13" t="s">
        <v>103</v>
      </c>
    </row>
    <row r="21" customFormat="false" ht="15" hidden="false" customHeight="false" outlineLevel="0" collapsed="false">
      <c r="A21" s="11" t="s">
        <v>82</v>
      </c>
      <c r="B21" s="11" t="s">
        <v>104</v>
      </c>
      <c r="C21" s="11" t="s">
        <v>66</v>
      </c>
      <c r="D21" s="12" t="s">
        <v>43</v>
      </c>
      <c r="E21" s="11" t="s">
        <v>67</v>
      </c>
      <c r="F21" s="11"/>
      <c r="G21" s="11"/>
      <c r="H21" s="11" t="s">
        <v>68</v>
      </c>
      <c r="I21" s="13" t="s">
        <v>105</v>
      </c>
    </row>
    <row r="22" customFormat="false" ht="15" hidden="false" customHeight="false" outlineLevel="0" collapsed="false">
      <c r="A22" s="14" t="s">
        <v>106</v>
      </c>
      <c r="B22" s="14" t="s">
        <v>107</v>
      </c>
      <c r="C22" s="14" t="s">
        <v>42</v>
      </c>
      <c r="D22" s="15" t="s">
        <v>43</v>
      </c>
      <c r="E22" s="14" t="s">
        <v>44</v>
      </c>
      <c r="F22" s="14" t="s">
        <v>45</v>
      </c>
      <c r="G22" s="14"/>
      <c r="H22" s="14" t="s">
        <v>46</v>
      </c>
      <c r="I22" s="16" t="s">
        <v>47</v>
      </c>
    </row>
    <row r="23" customFormat="false" ht="15" hidden="false" customHeight="false" outlineLevel="0" collapsed="false">
      <c r="A23" s="14" t="s">
        <v>106</v>
      </c>
      <c r="B23" s="14" t="s">
        <v>83</v>
      </c>
      <c r="C23" s="14" t="s">
        <v>94</v>
      </c>
      <c r="D23" s="15" t="s">
        <v>43</v>
      </c>
      <c r="E23" s="14"/>
      <c r="F23" s="14" t="s">
        <v>108</v>
      </c>
      <c r="G23" s="14"/>
      <c r="H23" s="14" t="s">
        <v>109</v>
      </c>
      <c r="I23" s="16" t="s">
        <v>97</v>
      </c>
    </row>
    <row r="24" customFormat="false" ht="15" hidden="false" customHeight="false" outlineLevel="0" collapsed="false">
      <c r="A24" s="14" t="s">
        <v>106</v>
      </c>
      <c r="B24" s="14" t="s">
        <v>98</v>
      </c>
      <c r="C24" s="14" t="s">
        <v>94</v>
      </c>
      <c r="D24" s="15" t="s">
        <v>43</v>
      </c>
      <c r="E24" s="14"/>
      <c r="F24" s="14" t="s">
        <v>99</v>
      </c>
      <c r="G24" s="14"/>
      <c r="H24" s="14" t="s">
        <v>100</v>
      </c>
      <c r="I24" s="16" t="s">
        <v>110</v>
      </c>
    </row>
    <row r="25" customFormat="false" ht="15" hidden="false" customHeight="false" outlineLevel="0" collapsed="false">
      <c r="A25" s="14" t="s">
        <v>106</v>
      </c>
      <c r="B25" s="14" t="s">
        <v>111</v>
      </c>
      <c r="C25" s="14" t="s">
        <v>112</v>
      </c>
      <c r="D25" s="15" t="s">
        <v>43</v>
      </c>
      <c r="E25" s="14"/>
      <c r="F25" s="14"/>
      <c r="G25" s="14"/>
      <c r="H25" s="14" t="s">
        <v>51</v>
      </c>
      <c r="I25" s="16"/>
    </row>
    <row r="26" customFormat="false" ht="15" hidden="false" customHeight="false" outlineLevel="0" collapsed="false">
      <c r="A26" s="14" t="s">
        <v>106</v>
      </c>
      <c r="B26" s="14" t="s">
        <v>113</v>
      </c>
      <c r="C26" s="14" t="s">
        <v>66</v>
      </c>
      <c r="D26" s="15" t="s">
        <v>43</v>
      </c>
      <c r="E26" s="14" t="s">
        <v>67</v>
      </c>
      <c r="F26" s="14"/>
      <c r="G26" s="14"/>
      <c r="H26" s="14" t="s">
        <v>68</v>
      </c>
      <c r="I26" s="16"/>
    </row>
    <row r="27" customFormat="false" ht="15" hidden="false" customHeight="false" outlineLevel="0" collapsed="false">
      <c r="A27" s="14" t="s">
        <v>106</v>
      </c>
      <c r="B27" s="14" t="s">
        <v>114</v>
      </c>
      <c r="C27" s="14" t="s">
        <v>57</v>
      </c>
      <c r="D27" s="15" t="s">
        <v>43</v>
      </c>
      <c r="E27" s="14" t="s">
        <v>115</v>
      </c>
      <c r="F27" s="14"/>
      <c r="G27" s="14" t="s">
        <v>116</v>
      </c>
      <c r="H27" s="14" t="s">
        <v>59</v>
      </c>
      <c r="I27" s="16"/>
    </row>
    <row r="28" customFormat="false" ht="15" hidden="false" customHeight="false" outlineLevel="0" collapsed="false">
      <c r="A28" s="14" t="s">
        <v>106</v>
      </c>
      <c r="B28" s="14" t="s">
        <v>117</v>
      </c>
      <c r="C28" s="14" t="s">
        <v>94</v>
      </c>
      <c r="D28" s="14" t="s">
        <v>81</v>
      </c>
      <c r="E28" s="14"/>
      <c r="F28" s="14" t="s">
        <v>99</v>
      </c>
      <c r="G28" s="14"/>
      <c r="H28" s="14" t="s">
        <v>100</v>
      </c>
      <c r="I28" s="16" t="s">
        <v>118</v>
      </c>
    </row>
    <row r="29" customFormat="false" ht="15" hidden="false" customHeight="false" outlineLevel="0" collapsed="false">
      <c r="A29" s="14" t="s">
        <v>106</v>
      </c>
      <c r="B29" s="14" t="s">
        <v>119</v>
      </c>
      <c r="C29" s="14" t="s">
        <v>66</v>
      </c>
      <c r="D29" s="14" t="s">
        <v>81</v>
      </c>
      <c r="E29" s="14"/>
      <c r="F29" s="14"/>
      <c r="G29" s="14"/>
      <c r="H29" s="14" t="s">
        <v>68</v>
      </c>
      <c r="I29" s="16" t="s">
        <v>120</v>
      </c>
    </row>
    <row r="31" customFormat="false" ht="15" hidden="false" customHeight="false" outlineLevel="0" collapsed="false">
      <c r="A31" s="17" t="s">
        <v>121</v>
      </c>
    </row>
    <row r="32" customFormat="false" ht="15" hidden="false" customHeight="false" outlineLevel="0" collapsed="false">
      <c r="A32" s="18" t="s">
        <v>122</v>
      </c>
      <c r="C32" s="18" t="s">
        <v>123</v>
      </c>
    </row>
    <row r="33" customFormat="false" ht="15" hidden="false" customHeight="false" outlineLevel="0" collapsed="false">
      <c r="A33" s="18" t="s">
        <v>124</v>
      </c>
      <c r="C33" s="18" t="s">
        <v>125</v>
      </c>
    </row>
    <row r="35" customFormat="false" ht="15" hidden="false" customHeight="false" outlineLevel="0" collapsed="false">
      <c r="A35" s="19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4" min="4" style="0" width="110"/>
  </cols>
  <sheetData>
    <row r="1" customFormat="false" ht="21.75" hidden="false" customHeight="true" outlineLevel="0" collapsed="false">
      <c r="A1" s="20" t="s">
        <v>127</v>
      </c>
      <c r="B1" s="20" t="s">
        <v>80</v>
      </c>
      <c r="D1" s="21" t="s">
        <v>128</v>
      </c>
    </row>
    <row r="2" customFormat="false" ht="30" hidden="false" customHeight="true" outlineLevel="0" collapsed="false">
      <c r="A2" s="22" t="s">
        <v>129</v>
      </c>
      <c r="B2" s="22" t="s">
        <v>130</v>
      </c>
      <c r="D2" s="23" t="s">
        <v>131</v>
      </c>
    </row>
    <row r="3" customFormat="false" ht="15" hidden="false" customHeight="false" outlineLevel="0" collapsed="false">
      <c r="A3" s="24" t="s">
        <v>132</v>
      </c>
      <c r="B3" s="24" t="s">
        <v>133</v>
      </c>
      <c r="D3" s="25" t="str">
        <f aca="false">IF($A3="","","INSERT INTO Categorias (NomeCategoria, DescricaoCategoria) SELECT "&amp;"'"&amp;SUBSTITUTE($A3,"'","''")&amp;"'"&amp;", "&amp;IF($B3="","NULL","'"&amp;SUBSTITUTE($B3,"'","''")&amp;"'")&amp;" WHERE NOT EXISTS (SELECT 1 FROM Categorias WHERE NomeCategoria = "&amp;"'"&amp;SUBSTITUTE($A3,"'","''")&amp;"'"&amp;");")</f>
        <v>INSERT INTO Categorias (NomeCategoria, DescricaoCategoria) SELECT 'Tecnologia', 'Noticias sobre tecnologia, software e inovacao' WHERE NOT EXISTS (SELECT 1 FROM Categorias WHERE NomeCategoria = 'Tecnologia');</v>
      </c>
    </row>
    <row r="4" customFormat="false" ht="15" hidden="false" customHeight="false" outlineLevel="0" collapsed="false">
      <c r="A4" s="26"/>
      <c r="B4" s="26"/>
      <c r="D4" s="25" t="str">
        <f aca="false">IF($A4="","","INSERT INTO Categorias (NomeCategoria, DescricaoCategoria) SELECT "&amp;"'"&amp;SUBSTITUTE($A4,"'","''")&amp;"'"&amp;", "&amp;IF($B4="","NULL","'"&amp;SUBSTITUTE($B4,"'","''")&amp;"'")&amp;" WHERE NOT EXISTS (SELECT 1 FROM Categorias WHERE NomeCategoria = "&amp;"'"&amp;SUBSTITUTE($A4,"'","''")&amp;"'"&amp;");")</f>
        <v/>
      </c>
    </row>
    <row r="5" customFormat="false" ht="15" hidden="false" customHeight="false" outlineLevel="0" collapsed="false">
      <c r="A5" s="26"/>
      <c r="B5" s="26"/>
      <c r="D5" s="25" t="str">
        <f aca="false">IF($A5="","","INSERT INTO Categorias (NomeCategoria, DescricaoCategoria) SELECT "&amp;"'"&amp;SUBSTITUTE($A5,"'","''")&amp;"'"&amp;", "&amp;IF($B5="","NULL","'"&amp;SUBSTITUTE($B5,"'","''")&amp;"'")&amp;" WHERE NOT EXISTS (SELECT 1 FROM Categorias WHERE NomeCategoria = "&amp;"'"&amp;SUBSTITUTE($A5,"'","''")&amp;"'"&amp;");")</f>
        <v/>
      </c>
    </row>
    <row r="6" customFormat="false" ht="15" hidden="false" customHeight="false" outlineLevel="0" collapsed="false">
      <c r="A6" s="26"/>
      <c r="B6" s="26"/>
      <c r="D6" s="25" t="str">
        <f aca="false">IF($A6="","","INSERT INTO Categorias (NomeCategoria, DescricaoCategoria) SELECT "&amp;"'"&amp;SUBSTITUTE($A6,"'","''")&amp;"'"&amp;", "&amp;IF($B6="","NULL","'"&amp;SUBSTITUTE($B6,"'","''")&amp;"'")&amp;" WHERE NOT EXISTS (SELECT 1 FROM Categorias WHERE NomeCategoria = "&amp;"'"&amp;SUBSTITUTE($A6,"'","''")&amp;"'"&amp;");")</f>
        <v/>
      </c>
    </row>
    <row r="7" customFormat="false" ht="15" hidden="false" customHeight="false" outlineLevel="0" collapsed="false">
      <c r="A7" s="26"/>
      <c r="B7" s="26"/>
      <c r="D7" s="25" t="str">
        <f aca="false">IF($A7="","","INSERT INTO Categorias (NomeCategoria, DescricaoCategoria) SELECT "&amp;"'"&amp;SUBSTITUTE($A7,"'","''")&amp;"'"&amp;", "&amp;IF($B7="","NULL","'"&amp;SUBSTITUTE($B7,"'","''")&amp;"'")&amp;" WHERE NOT EXISTS (SELECT 1 FROM Categorias WHERE NomeCategoria = "&amp;"'"&amp;SUBSTITUTE($A7,"'","''")&amp;"'"&amp;");")</f>
        <v/>
      </c>
    </row>
    <row r="8" customFormat="false" ht="15" hidden="false" customHeight="false" outlineLevel="0" collapsed="false">
      <c r="A8" s="26"/>
      <c r="B8" s="26"/>
      <c r="D8" s="25" t="str">
        <f aca="false">IF($A8="","","INSERT INTO Categorias (NomeCategoria, DescricaoCategoria) SELECT "&amp;"'"&amp;SUBSTITUTE($A8,"'","''")&amp;"'"&amp;", "&amp;IF($B8="","NULL","'"&amp;SUBSTITUTE($B8,"'","''")&amp;"'")&amp;" WHERE NOT EXISTS (SELECT 1 FROM Categorias WHERE NomeCategoria = "&amp;"'"&amp;SUBSTITUTE($A8,"'","''")&amp;"'"&amp;");")</f>
        <v/>
      </c>
    </row>
    <row r="9" customFormat="false" ht="15" hidden="false" customHeight="false" outlineLevel="0" collapsed="false">
      <c r="A9" s="26"/>
      <c r="B9" s="26"/>
      <c r="D9" s="25" t="str">
        <f aca="false">IF($A9="","","INSERT INTO Categorias (NomeCategoria, DescricaoCategoria) SELECT "&amp;"'"&amp;SUBSTITUTE($A9,"'","''")&amp;"'"&amp;", "&amp;IF($B9="","NULL","'"&amp;SUBSTITUTE($B9,"'","''")&amp;"'")&amp;" WHERE NOT EXISTS (SELECT 1 FROM Categorias WHERE NomeCategoria = "&amp;"'"&amp;SUBSTITUTE($A9,"'","''")&amp;"'"&amp;");")</f>
        <v/>
      </c>
    </row>
    <row r="10" customFormat="false" ht="15" hidden="false" customHeight="false" outlineLevel="0" collapsed="false">
      <c r="A10" s="26"/>
      <c r="B10" s="26"/>
      <c r="D10" s="25" t="str">
        <f aca="false">IF($A10="","","INSERT INTO Categorias (NomeCategoria, DescricaoCategoria) SELECT "&amp;"'"&amp;SUBSTITUTE($A10,"'","''")&amp;"'"&amp;", "&amp;IF($B10="","NULL","'"&amp;SUBSTITUTE($B10,"'","''")&amp;"'")&amp;" WHERE NOT EXISTS (SELECT 1 FROM Categorias WHERE NomeCategoria = "&amp;"'"&amp;SUBSTITUTE($A10,"'","''")&amp;"'"&amp;");")</f>
        <v/>
      </c>
    </row>
    <row r="11" customFormat="false" ht="15" hidden="false" customHeight="false" outlineLevel="0" collapsed="false">
      <c r="A11" s="26"/>
      <c r="B11" s="26"/>
      <c r="D11" s="25" t="str">
        <f aca="false">IF($A11="","","INSERT INTO Categorias (NomeCategoria, DescricaoCategoria) SELECT "&amp;"'"&amp;SUBSTITUTE($A11,"'","''")&amp;"'"&amp;", "&amp;IF($B11="","NULL","'"&amp;SUBSTITUTE($B11,"'","''")&amp;"'")&amp;" WHERE NOT EXISTS (SELECT 1 FROM Categorias WHERE NomeCategoria = "&amp;"'"&amp;SUBSTITUTE($A11,"'","''")&amp;"'"&amp;");")</f>
        <v/>
      </c>
    </row>
    <row r="12" customFormat="false" ht="15" hidden="false" customHeight="false" outlineLevel="0" collapsed="false">
      <c r="A12" s="26"/>
      <c r="B12" s="26"/>
      <c r="D12" s="25" t="str">
        <f aca="false">IF($A12="","","INSERT INTO Categorias (NomeCategoria, DescricaoCategoria) SELECT "&amp;"'"&amp;SUBSTITUTE($A12,"'","''")&amp;"'"&amp;", "&amp;IF($B12="","NULL","'"&amp;SUBSTITUTE($B12,"'","''")&amp;"'")&amp;" WHERE NOT EXISTS (SELECT 1 FROM Categorias WHERE NomeCategoria = "&amp;"'"&amp;SUBSTITUTE($A12,"'","''")&amp;"'"&amp;");")</f>
        <v/>
      </c>
    </row>
    <row r="13" customFormat="false" ht="15" hidden="false" customHeight="false" outlineLevel="0" collapsed="false">
      <c r="A13" s="26"/>
      <c r="B13" s="26"/>
      <c r="D13" s="25" t="str">
        <f aca="false">IF($A13="","","INSERT INTO Categorias (NomeCategoria, DescricaoCategoria) SELECT "&amp;"'"&amp;SUBSTITUTE($A13,"'","''")&amp;"'"&amp;", "&amp;IF($B13="","NULL","'"&amp;SUBSTITUTE($B13,"'","''")&amp;"'")&amp;" WHERE NOT EXISTS (SELECT 1 FROM Categorias WHERE NomeCategoria = "&amp;"'"&amp;SUBSTITUTE($A13,"'","''")&amp;"'"&amp;");")</f>
        <v/>
      </c>
    </row>
    <row r="14" customFormat="false" ht="15" hidden="false" customHeight="false" outlineLevel="0" collapsed="false">
      <c r="A14" s="26"/>
      <c r="B14" s="26"/>
      <c r="D14" s="25" t="str">
        <f aca="false">IF($A14="","","INSERT INTO Categorias (NomeCategoria, DescricaoCategoria) SELECT "&amp;"'"&amp;SUBSTITUTE($A14,"'","''")&amp;"'"&amp;", "&amp;IF($B14="","NULL","'"&amp;SUBSTITUTE($B14,"'","''")&amp;"'")&amp;" WHERE NOT EXISTS (SELECT 1 FROM Categorias WHERE NomeCategoria = "&amp;"'"&amp;SUBSTITUTE($A14,"'","''")&amp;"'"&amp;");")</f>
        <v/>
      </c>
    </row>
    <row r="15" customFormat="false" ht="15" hidden="false" customHeight="false" outlineLevel="0" collapsed="false">
      <c r="A15" s="26"/>
      <c r="B15" s="26"/>
      <c r="D15" s="25" t="str">
        <f aca="false">IF($A15="","","INSERT INTO Categorias (NomeCategoria, DescricaoCategoria) SELECT "&amp;"'"&amp;SUBSTITUTE($A15,"'","''")&amp;"'"&amp;", "&amp;IF($B15="","NULL","'"&amp;SUBSTITUTE($B15,"'","''")&amp;"'")&amp;" WHERE NOT EXISTS (SELECT 1 FROM Categorias WHERE NomeCategoria = "&amp;"'"&amp;SUBSTITUTE($A15,"'","''")&amp;"'"&amp;");")</f>
        <v/>
      </c>
    </row>
    <row r="16" customFormat="false" ht="15" hidden="false" customHeight="false" outlineLevel="0" collapsed="false">
      <c r="A16" s="26"/>
      <c r="B16" s="26"/>
      <c r="D16" s="25" t="str">
        <f aca="false">IF($A16="","","INSERT INTO Categorias (NomeCategoria, DescricaoCategoria) SELECT "&amp;"'"&amp;SUBSTITUTE($A16,"'","''")&amp;"'"&amp;", "&amp;IF($B16="","NULL","'"&amp;SUBSTITUTE($B16,"'","''")&amp;"'")&amp;" WHERE NOT EXISTS (SELECT 1 FROM Categorias WHERE NomeCategoria = "&amp;"'"&amp;SUBSTITUTE($A16,"'","''")&amp;"'"&amp;");")</f>
        <v/>
      </c>
    </row>
    <row r="17" customFormat="false" ht="15" hidden="false" customHeight="false" outlineLevel="0" collapsed="false">
      <c r="A17" s="26"/>
      <c r="B17" s="26"/>
      <c r="D17" s="25" t="str">
        <f aca="false">IF($A17="","","INSERT INTO Categorias (NomeCategoria, DescricaoCategoria) SELECT "&amp;"'"&amp;SUBSTITUTE($A17,"'","''")&amp;"'"&amp;", "&amp;IF($B17="","NULL","'"&amp;SUBSTITUTE($B17,"'","''")&amp;"'")&amp;" WHERE NOT EXISTS (SELECT 1 FROM Categorias WHERE NomeCategoria = "&amp;"'"&amp;SUBSTITUTE($A17,"'","''")&amp;"'"&amp;");")</f>
        <v/>
      </c>
    </row>
    <row r="18" customFormat="false" ht="15" hidden="false" customHeight="false" outlineLevel="0" collapsed="false">
      <c r="A18" s="26"/>
      <c r="B18" s="26"/>
      <c r="D18" s="25" t="str">
        <f aca="false">IF($A18="","","INSERT INTO Categorias (NomeCategoria, DescricaoCategoria) SELECT "&amp;"'"&amp;SUBSTITUTE($A18,"'","''")&amp;"'"&amp;", "&amp;IF($B18="","NULL","'"&amp;SUBSTITUTE($B18,"'","''")&amp;"'")&amp;" WHERE NOT EXISTS (SELECT 1 FROM Categorias WHERE NomeCategoria = "&amp;"'"&amp;SUBSTITUTE($A18,"'","''")&amp;"'"&amp;");")</f>
        <v/>
      </c>
    </row>
    <row r="19" customFormat="false" ht="15" hidden="false" customHeight="false" outlineLevel="0" collapsed="false">
      <c r="A19" s="26"/>
      <c r="B19" s="26"/>
      <c r="D19" s="25" t="str">
        <f aca="false">IF($A19="","","INSERT INTO Categorias (NomeCategoria, DescricaoCategoria) SELECT "&amp;"'"&amp;SUBSTITUTE($A19,"'","''")&amp;"'"&amp;", "&amp;IF($B19="","NULL","'"&amp;SUBSTITUTE($B19,"'","''")&amp;"'")&amp;" WHERE NOT EXISTS (SELECT 1 FROM Categorias WHERE NomeCategoria = "&amp;"'"&amp;SUBSTITUTE($A19,"'","''")&amp;"'"&amp;");")</f>
        <v/>
      </c>
    </row>
    <row r="20" customFormat="false" ht="15" hidden="false" customHeight="false" outlineLevel="0" collapsed="false">
      <c r="A20" s="26"/>
      <c r="B20" s="26"/>
      <c r="D20" s="25" t="str">
        <f aca="false">IF($A20="","","INSERT INTO Categorias (NomeCategoria, DescricaoCategoria) SELECT "&amp;"'"&amp;SUBSTITUTE($A20,"'","''")&amp;"'"&amp;", "&amp;IF($B20="","NULL","'"&amp;SUBSTITUTE($B20,"'","''")&amp;"'")&amp;" WHERE NOT EXISTS (SELECT 1 FROM Categorias WHERE NomeCategoria = "&amp;"'"&amp;SUBSTITUTE($A20,"'","''")&amp;"'"&amp;");")</f>
        <v/>
      </c>
    </row>
    <row r="21" customFormat="false" ht="15" hidden="false" customHeight="false" outlineLevel="0" collapsed="false">
      <c r="A21" s="26"/>
      <c r="B21" s="26"/>
      <c r="D21" s="25" t="str">
        <f aca="false">IF($A21="","","INSERT INTO Categorias (NomeCategoria, DescricaoCategoria) SELECT "&amp;"'"&amp;SUBSTITUTE($A21,"'","''")&amp;"'"&amp;", "&amp;IF($B21="","NULL","'"&amp;SUBSTITUTE($B21,"'","''")&amp;"'")&amp;" WHERE NOT EXISTS (SELECT 1 FROM Categorias WHERE NomeCategoria = "&amp;"'"&amp;SUBSTITUTE($A21,"'","''")&amp;"'"&amp;");")</f>
        <v/>
      </c>
    </row>
    <row r="22" customFormat="false" ht="15" hidden="false" customHeight="false" outlineLevel="0" collapsed="false">
      <c r="A22" s="26"/>
      <c r="B22" s="26"/>
      <c r="D22" s="25" t="str">
        <f aca="false">IF($A22="","","INSERT INTO Categorias (NomeCategoria, DescricaoCategoria) SELECT "&amp;"'"&amp;SUBSTITUTE($A22,"'","''")&amp;"'"&amp;", "&amp;IF($B22="","NULL","'"&amp;SUBSTITUTE($B22,"'","''")&amp;"'")&amp;" WHERE NOT EXISTS (SELECT 1 FROM Categorias WHERE NomeCategoria = "&amp;"'"&amp;SUBSTITUTE($A22,"'","''")&amp;"'"&amp;");")</f>
        <v/>
      </c>
    </row>
    <row r="23" customFormat="false" ht="15" hidden="false" customHeight="false" outlineLevel="0" collapsed="false">
      <c r="A23" s="26"/>
      <c r="B23" s="26"/>
      <c r="D23" s="25" t="str">
        <f aca="false">IF($A23="","","INSERT INTO Categorias (NomeCategoria, DescricaoCategoria) SELECT "&amp;"'"&amp;SUBSTITUTE($A23,"'","''")&amp;"'"&amp;", "&amp;IF($B23="","NULL","'"&amp;SUBSTITUTE($B23,"'","''")&amp;"'")&amp;" WHERE NOT EXISTS (SELECT 1 FROM Categorias WHERE NomeCategoria = "&amp;"'"&amp;SUBSTITUTE($A23,"'","''")&amp;"'"&amp;");")</f>
        <v/>
      </c>
    </row>
    <row r="24" customFormat="false" ht="15" hidden="false" customHeight="false" outlineLevel="0" collapsed="false">
      <c r="A24" s="26"/>
      <c r="B24" s="26"/>
      <c r="D24" s="25" t="str">
        <f aca="false">IF($A24="","","INSERT INTO Categorias (NomeCategoria, DescricaoCategoria) SELECT "&amp;"'"&amp;SUBSTITUTE($A24,"'","''")&amp;"'"&amp;", "&amp;IF($B24="","NULL","'"&amp;SUBSTITUTE($B24,"'","''")&amp;"'")&amp;" WHERE NOT EXISTS (SELECT 1 FROM Categorias WHERE NomeCategoria = "&amp;"'"&amp;SUBSTITUTE($A24,"'","''")&amp;"'"&amp;");")</f>
        <v/>
      </c>
    </row>
    <row r="25" customFormat="false" ht="15" hidden="false" customHeight="false" outlineLevel="0" collapsed="false">
      <c r="A25" s="26"/>
      <c r="B25" s="26"/>
      <c r="D25" s="25" t="str">
        <f aca="false">IF($A25="","","INSERT INTO Categorias (NomeCategoria, DescricaoCategoria) SELECT "&amp;"'"&amp;SUBSTITUTE($A25,"'","''")&amp;"'"&amp;", "&amp;IF($B25="","NULL","'"&amp;SUBSTITUTE($B25,"'","''")&amp;"'")&amp;" WHERE NOT EXISTS (SELECT 1 FROM Categorias WHERE NomeCategoria = "&amp;"'"&amp;SUBSTITUTE($A25,"'","''")&amp;"'"&amp;");")</f>
        <v/>
      </c>
    </row>
    <row r="26" customFormat="false" ht="15" hidden="false" customHeight="false" outlineLevel="0" collapsed="false">
      <c r="A26" s="26"/>
      <c r="B26" s="26"/>
      <c r="D26" s="25" t="str">
        <f aca="false">IF($A26="","","INSERT INTO Categorias (NomeCategoria, DescricaoCategoria) SELECT "&amp;"'"&amp;SUBSTITUTE($A26,"'","''")&amp;"'"&amp;", "&amp;IF($B26="","NULL","'"&amp;SUBSTITUTE($B26,"'","''")&amp;"'")&amp;" WHERE NOT EXISTS (SELECT 1 FROM Categorias WHERE NomeCategoria = "&amp;"'"&amp;SUBSTITUTE($A26,"'","''")&amp;"'"&amp;");")</f>
        <v/>
      </c>
    </row>
    <row r="27" customFormat="false" ht="15" hidden="false" customHeight="false" outlineLevel="0" collapsed="false">
      <c r="A27" s="26"/>
      <c r="B27" s="26"/>
      <c r="D27" s="25" t="str">
        <f aca="false">IF($A27="","","INSERT INTO Categorias (NomeCategoria, DescricaoCategoria) SELECT "&amp;"'"&amp;SUBSTITUTE($A27,"'","''")&amp;"'"&amp;", "&amp;IF($B27="","NULL","'"&amp;SUBSTITUTE($B27,"'","''")&amp;"'")&amp;" WHERE NOT EXISTS (SELECT 1 FROM Categorias WHERE NomeCategoria = "&amp;"'"&amp;SUBSTITUTE($A27,"'","''")&amp;"'"&amp;");")</f>
        <v/>
      </c>
    </row>
    <row r="28" customFormat="false" ht="15" hidden="false" customHeight="false" outlineLevel="0" collapsed="false">
      <c r="A28" s="26"/>
      <c r="B28" s="26"/>
      <c r="D28" s="25" t="str">
        <f aca="false">IF($A28="","","INSERT INTO Categorias (NomeCategoria, DescricaoCategoria) SELECT "&amp;"'"&amp;SUBSTITUTE($A28,"'","''")&amp;"'"&amp;", "&amp;IF($B28="","NULL","'"&amp;SUBSTITUTE($B28,"'","''")&amp;"'")&amp;" WHERE NOT EXISTS (SELECT 1 FROM Categorias WHERE NomeCategoria = "&amp;"'"&amp;SUBSTITUTE($A28,"'","''")&amp;"'"&amp;");")</f>
        <v/>
      </c>
    </row>
    <row r="29" customFormat="false" ht="15" hidden="false" customHeight="false" outlineLevel="0" collapsed="false">
      <c r="A29" s="26"/>
      <c r="B29" s="26"/>
      <c r="D29" s="25" t="str">
        <f aca="false">IF($A29="","","INSERT INTO Categorias (NomeCategoria, DescricaoCategoria) SELECT "&amp;"'"&amp;SUBSTITUTE($A29,"'","''")&amp;"'"&amp;", "&amp;IF($B29="","NULL","'"&amp;SUBSTITUTE($B29,"'","''")&amp;"'")&amp;" WHERE NOT EXISTS (SELECT 1 FROM Categorias WHERE NomeCategoria = "&amp;"'"&amp;SUBSTITUTE($A29,"'","''")&amp;"'"&amp;");")</f>
        <v/>
      </c>
    </row>
    <row r="30" customFormat="false" ht="15" hidden="false" customHeight="false" outlineLevel="0" collapsed="false">
      <c r="A30" s="26"/>
      <c r="B30" s="26"/>
      <c r="D30" s="25" t="str">
        <f aca="false">IF($A30="","","INSERT INTO Categorias (NomeCategoria, DescricaoCategoria) SELECT "&amp;"'"&amp;SUBSTITUTE($A30,"'","''")&amp;"'"&amp;", "&amp;IF($B30="","NULL","'"&amp;SUBSTITUTE($B30,"'","''")&amp;"'")&amp;" WHERE NOT EXISTS (SELECT 1 FROM Categorias WHERE NomeCategoria = "&amp;"'"&amp;SUBSTITUTE($A30,"'","''")&amp;"'"&amp;");")</f>
        <v/>
      </c>
    </row>
    <row r="31" customFormat="false" ht="15" hidden="false" customHeight="false" outlineLevel="0" collapsed="false">
      <c r="A31" s="26"/>
      <c r="B31" s="26"/>
      <c r="D31" s="25" t="str">
        <f aca="false">IF($A31="","","INSERT INTO Categorias (NomeCategoria, DescricaoCategoria) SELECT "&amp;"'"&amp;SUBSTITUTE($A31,"'","''")&amp;"'"&amp;", "&amp;IF($B31="","NULL","'"&amp;SUBSTITUTE($B31,"'","''")&amp;"'")&amp;" WHERE NOT EXISTS (SELECT 1 FROM Categorias WHERE NomeCategoria = "&amp;"'"&amp;SUBSTITUTE($A31,"'","''")&amp;"'"&amp;");")</f>
        <v/>
      </c>
    </row>
    <row r="32" customFormat="false" ht="15" hidden="false" customHeight="false" outlineLevel="0" collapsed="false">
      <c r="A32" s="26"/>
      <c r="B32" s="26"/>
      <c r="D32" s="25" t="str">
        <f aca="false">IF($A32="","","INSERT INTO Categorias (NomeCategoria, DescricaoCategoria) SELECT "&amp;"'"&amp;SUBSTITUTE($A32,"'","''")&amp;"'"&amp;", "&amp;IF($B32="","NULL","'"&amp;SUBSTITUTE($B32,"'","''")&amp;"'")&amp;" WHERE NOT EXISTS (SELECT 1 FROM Categorias WHERE NomeCategoria = "&amp;"'"&amp;SUBSTITUTE($A32,"'","''")&amp;"'"&amp;");")</f>
        <v/>
      </c>
    </row>
    <row r="33" customFormat="false" ht="15" hidden="false" customHeight="false" outlineLevel="0" collapsed="false">
      <c r="A33" s="26"/>
      <c r="B33" s="26"/>
      <c r="D33" s="25" t="str">
        <f aca="false">IF($A33="","","INSERT INTO Categorias (NomeCategoria, DescricaoCategoria) SELECT "&amp;"'"&amp;SUBSTITUTE($A33,"'","''")&amp;"'"&amp;", "&amp;IF($B33="","NULL","'"&amp;SUBSTITUTE($B33,"'","''")&amp;"'")&amp;" WHERE NOT EXISTS (SELECT 1 FROM Categorias WHERE NomeCategoria = "&amp;"'"&amp;SUBSTITUTE($A33,"'","''")&amp;"'"&amp;");")</f>
        <v/>
      </c>
    </row>
    <row r="34" customFormat="false" ht="15" hidden="false" customHeight="false" outlineLevel="0" collapsed="false">
      <c r="A34" s="26"/>
      <c r="B34" s="26"/>
      <c r="D34" s="25" t="str">
        <f aca="false">IF($A34="","","INSERT INTO Categorias (NomeCategoria, DescricaoCategoria) SELECT "&amp;"'"&amp;SUBSTITUTE($A34,"'","''")&amp;"'"&amp;", "&amp;IF($B34="","NULL","'"&amp;SUBSTITUTE($B34,"'","''")&amp;"'")&amp;" WHERE NOT EXISTS (SELECT 1 FROM Categorias WHERE NomeCategoria = "&amp;"'"&amp;SUBSTITUTE($A34,"'","''")&amp;"'"&amp;");")</f>
        <v/>
      </c>
    </row>
    <row r="35" customFormat="false" ht="15" hidden="false" customHeight="false" outlineLevel="0" collapsed="false">
      <c r="A35" s="26"/>
      <c r="B35" s="26"/>
      <c r="D35" s="25" t="str">
        <f aca="false">IF($A35="","","INSERT INTO Categorias (NomeCategoria, DescricaoCategoria) SELECT "&amp;"'"&amp;SUBSTITUTE($A35,"'","''")&amp;"'"&amp;", "&amp;IF($B35="","NULL","'"&amp;SUBSTITUTE($B35,"'","''")&amp;"'")&amp;" WHERE NOT EXISTS (SELECT 1 FROM Categorias WHERE NomeCategoria = "&amp;"'"&amp;SUBSTITUTE($A35,"'","''")&amp;"'"&amp;");")</f>
        <v/>
      </c>
    </row>
    <row r="36" customFormat="false" ht="15" hidden="false" customHeight="false" outlineLevel="0" collapsed="false">
      <c r="A36" s="26"/>
      <c r="B36" s="26"/>
      <c r="D36" s="25" t="str">
        <f aca="false">IF($A36="","","INSERT INTO Categorias (NomeCategoria, DescricaoCategoria) SELECT "&amp;"'"&amp;SUBSTITUTE($A36,"'","''")&amp;"'"&amp;", "&amp;IF($B36="","NULL","'"&amp;SUBSTITUTE($B36,"'","''")&amp;"'")&amp;" WHERE NOT EXISTS (SELECT 1 FROM Categorias WHERE NomeCategoria = "&amp;"'"&amp;SUBSTITUTE($A36,"'","''")&amp;"'"&amp;");")</f>
        <v/>
      </c>
    </row>
    <row r="37" customFormat="false" ht="15" hidden="false" customHeight="false" outlineLevel="0" collapsed="false">
      <c r="A37" s="26"/>
      <c r="B37" s="26"/>
      <c r="D37" s="25" t="str">
        <f aca="false">IF($A37="","","INSERT INTO Categorias (NomeCategoria, DescricaoCategoria) SELECT "&amp;"'"&amp;SUBSTITUTE($A37,"'","''")&amp;"'"&amp;", "&amp;IF($B37="","NULL","'"&amp;SUBSTITUTE($B37,"'","''")&amp;"'")&amp;" WHERE NOT EXISTS (SELECT 1 FROM Categorias WHERE NomeCategoria = "&amp;"'"&amp;SUBSTITUTE($A37,"'","''")&amp;"'"&amp;");")</f>
        <v/>
      </c>
    </row>
    <row r="38" customFormat="false" ht="15" hidden="false" customHeight="false" outlineLevel="0" collapsed="false">
      <c r="A38" s="26"/>
      <c r="B38" s="26"/>
      <c r="D38" s="25" t="str">
        <f aca="false">IF($A38="","","INSERT INTO Categorias (NomeCategoria, DescricaoCategoria) SELECT "&amp;"'"&amp;SUBSTITUTE($A38,"'","''")&amp;"'"&amp;", "&amp;IF($B38="","NULL","'"&amp;SUBSTITUTE($B38,"'","''")&amp;"'")&amp;" WHERE NOT EXISTS (SELECT 1 FROM Categorias WHERE NomeCategoria = "&amp;"'"&amp;SUBSTITUTE($A38,"'","''")&amp;"'"&amp;");")</f>
        <v/>
      </c>
    </row>
    <row r="39" customFormat="false" ht="15" hidden="false" customHeight="false" outlineLevel="0" collapsed="false">
      <c r="A39" s="26"/>
      <c r="B39" s="26"/>
      <c r="D39" s="25" t="str">
        <f aca="false">IF($A39="","","INSERT INTO Categorias (NomeCategoria, DescricaoCategoria) SELECT "&amp;"'"&amp;SUBSTITUTE($A39,"'","''")&amp;"'"&amp;", "&amp;IF($B39="","NULL","'"&amp;SUBSTITUTE($B39,"'","''")&amp;"'")&amp;" WHERE NOT EXISTS (SELECT 1 FROM Categorias WHERE NomeCategoria = "&amp;"'"&amp;SUBSTITUTE($A39,"'","''")&amp;"'"&amp;");")</f>
        <v/>
      </c>
    </row>
    <row r="40" customFormat="false" ht="15" hidden="false" customHeight="false" outlineLevel="0" collapsed="false">
      <c r="A40" s="26"/>
      <c r="B40" s="26"/>
      <c r="D40" s="25" t="str">
        <f aca="false">IF($A40="","","INSERT INTO Categorias (NomeCategoria, DescricaoCategoria) SELECT "&amp;"'"&amp;SUBSTITUTE($A40,"'","''")&amp;"'"&amp;", "&amp;IF($B40="","NULL","'"&amp;SUBSTITUTE($B40,"'","''")&amp;"'")&amp;" WHERE NOT EXISTS (SELECT 1 FROM Categorias WHERE NomeCategoria = "&amp;"'"&amp;SUBSTITUTE($A40,"'","''")&amp;"'"&amp;");")</f>
        <v/>
      </c>
    </row>
    <row r="41" customFormat="false" ht="15" hidden="false" customHeight="false" outlineLevel="0" collapsed="false">
      <c r="A41" s="26"/>
      <c r="B41" s="26"/>
      <c r="D41" s="25" t="str">
        <f aca="false">IF($A41="","","INSERT INTO Categorias (NomeCategoria, DescricaoCategoria) SELECT "&amp;"'"&amp;SUBSTITUTE($A41,"'","''")&amp;"'"&amp;", "&amp;IF($B41="","NULL","'"&amp;SUBSTITUTE($B41,"'","''")&amp;"'")&amp;" WHERE NOT EXISTS (SELECT 1 FROM Categorias WHERE NomeCategoria = "&amp;"'"&amp;SUBSTITUTE($A41,"'","''")&amp;"'"&amp;");")</f>
        <v/>
      </c>
    </row>
    <row r="42" customFormat="false" ht="15" hidden="false" customHeight="false" outlineLevel="0" collapsed="false">
      <c r="A42" s="26"/>
      <c r="B42" s="26"/>
      <c r="D42" s="25" t="str">
        <f aca="false">IF($A42="","","INSERT INTO Categorias (NomeCategoria, DescricaoCategoria) SELECT "&amp;"'"&amp;SUBSTITUTE($A42,"'","''")&amp;"'"&amp;", "&amp;IF($B42="","NULL","'"&amp;SUBSTITUTE($B42,"'","''")&amp;"'")&amp;" WHERE NOT EXISTS (SELECT 1 FROM Categorias WHERE NomeCategoria = "&amp;"'"&amp;SUBSTITUTE($A42,"'","''")&amp;"'"&amp;");")</f>
        <v/>
      </c>
    </row>
    <row r="43" customFormat="false" ht="15" hidden="false" customHeight="false" outlineLevel="0" collapsed="false">
      <c r="A43" s="26"/>
      <c r="B43" s="26"/>
      <c r="D43" s="25" t="str">
        <f aca="false">IF($A43="","","INSERT INTO Categorias (NomeCategoria, DescricaoCategoria) SELECT "&amp;"'"&amp;SUBSTITUTE($A43,"'","''")&amp;"'"&amp;", "&amp;IF($B43="","NULL","'"&amp;SUBSTITUTE($B43,"'","''")&amp;"'")&amp;" WHERE NOT EXISTS (SELECT 1 FROM Categorias WHERE NomeCategoria = "&amp;"'"&amp;SUBSTITUTE($A43,"'","''")&amp;"'"&amp;");")</f>
        <v/>
      </c>
    </row>
    <row r="44" customFormat="false" ht="15" hidden="false" customHeight="false" outlineLevel="0" collapsed="false">
      <c r="A44" s="26"/>
      <c r="B44" s="26"/>
      <c r="D44" s="25" t="str">
        <f aca="false">IF($A44="","","INSERT INTO Categorias (NomeCategoria, DescricaoCategoria) SELECT "&amp;"'"&amp;SUBSTITUTE($A44,"'","''")&amp;"'"&amp;", "&amp;IF($B44="","NULL","'"&amp;SUBSTITUTE($B44,"'","''")&amp;"'")&amp;" WHERE NOT EXISTS (SELECT 1 FROM Categorias WHERE NomeCategoria = "&amp;"'"&amp;SUBSTITUTE($A44,"'","''")&amp;"'"&amp;");")</f>
        <v/>
      </c>
    </row>
    <row r="45" customFormat="false" ht="15" hidden="false" customHeight="false" outlineLevel="0" collapsed="false">
      <c r="A45" s="26"/>
      <c r="B45" s="26"/>
      <c r="D45" s="25" t="str">
        <f aca="false">IF($A45="","","INSERT INTO Categorias (NomeCategoria, DescricaoCategoria) SELECT "&amp;"'"&amp;SUBSTITUTE($A45,"'","''")&amp;"'"&amp;", "&amp;IF($B45="","NULL","'"&amp;SUBSTITUTE($B45,"'","''")&amp;"'")&amp;" WHERE NOT EXISTS (SELECT 1 FROM Categorias WHERE NomeCategoria = "&amp;"'"&amp;SUBSTITUTE($A45,"'","''")&amp;"'"&amp;");")</f>
        <v/>
      </c>
    </row>
    <row r="46" customFormat="false" ht="15" hidden="false" customHeight="false" outlineLevel="0" collapsed="false">
      <c r="A46" s="26"/>
      <c r="B46" s="26"/>
      <c r="D46" s="25" t="str">
        <f aca="false">IF($A46="","","INSERT INTO Categorias (NomeCategoria, DescricaoCategoria) SELECT "&amp;"'"&amp;SUBSTITUTE($A46,"'","''")&amp;"'"&amp;", "&amp;IF($B46="","NULL","'"&amp;SUBSTITUTE($B46,"'","''")&amp;"'")&amp;" WHERE NOT EXISTS (SELECT 1 FROM Categorias WHERE NomeCategoria = "&amp;"'"&amp;SUBSTITUTE($A46,"'","''")&amp;"'"&amp;");")</f>
        <v/>
      </c>
    </row>
    <row r="47" customFormat="false" ht="15" hidden="false" customHeight="false" outlineLevel="0" collapsed="false">
      <c r="A47" s="26"/>
      <c r="B47" s="26"/>
      <c r="D47" s="25" t="str">
        <f aca="false">IF($A47="","","INSERT INTO Categorias (NomeCategoria, DescricaoCategoria) SELECT "&amp;"'"&amp;SUBSTITUTE($A47,"'","''")&amp;"'"&amp;", "&amp;IF($B47="","NULL","'"&amp;SUBSTITUTE($B47,"'","''")&amp;"'")&amp;" WHERE NOT EXISTS (SELECT 1 FROM Categorias WHERE NomeCategoria = "&amp;"'"&amp;SUBSTITUTE($A47,"'","''")&amp;"'"&amp;");")</f>
        <v/>
      </c>
    </row>
    <row r="48" customFormat="false" ht="15" hidden="false" customHeight="false" outlineLevel="0" collapsed="false">
      <c r="A48" s="26"/>
      <c r="B48" s="26"/>
      <c r="D48" s="25" t="str">
        <f aca="false">IF($A48="","","INSERT INTO Categorias (NomeCategoria, DescricaoCategoria) SELECT "&amp;"'"&amp;SUBSTITUTE($A48,"'","''")&amp;"'"&amp;", "&amp;IF($B48="","NULL","'"&amp;SUBSTITUTE($B48,"'","''")&amp;"'")&amp;" WHERE NOT EXISTS (SELECT 1 FROM Categorias WHERE NomeCategoria = "&amp;"'"&amp;SUBSTITUTE($A48,"'","''")&amp;"'"&amp;");")</f>
        <v/>
      </c>
    </row>
    <row r="49" customFormat="false" ht="15" hidden="false" customHeight="false" outlineLevel="0" collapsed="false">
      <c r="A49" s="26"/>
      <c r="B49" s="26"/>
      <c r="D49" s="25" t="str">
        <f aca="false">IF($A49="","","INSERT INTO Categorias (NomeCategoria, DescricaoCategoria) SELECT "&amp;"'"&amp;SUBSTITUTE($A49,"'","''")&amp;"'"&amp;", "&amp;IF($B49="","NULL","'"&amp;SUBSTITUTE($B49,"'","''")&amp;"'")&amp;" WHERE NOT EXISTS (SELECT 1 FROM Categorias WHERE NomeCategoria = "&amp;"'"&amp;SUBSTITUTE($A49,"'","''")&amp;"'"&amp;");")</f>
        <v/>
      </c>
    </row>
    <row r="50" customFormat="false" ht="15" hidden="false" customHeight="false" outlineLevel="0" collapsed="false">
      <c r="A50" s="26"/>
      <c r="B50" s="26"/>
      <c r="D50" s="25" t="str">
        <f aca="false">IF($A50="","","INSERT INTO Categorias (NomeCategoria, DescricaoCategoria) SELECT "&amp;"'"&amp;SUBSTITUTE($A50,"'","''")&amp;"'"&amp;", "&amp;IF($B50="","NULL","'"&amp;SUBSTITUTE($B50,"'","''")&amp;"'")&amp;" WHERE NOT EXISTS (SELECT 1 FROM Categorias WHERE NomeCategoria = "&amp;"'"&amp;SUBSTITUTE($A50,"'","''")&amp;"'"&amp;");")</f>
        <v/>
      </c>
    </row>
    <row r="51" customFormat="false" ht="15" hidden="false" customHeight="false" outlineLevel="0" collapsed="false">
      <c r="A51" s="26"/>
      <c r="B51" s="26"/>
      <c r="D51" s="25" t="str">
        <f aca="false">IF($A51="","","INSERT INTO Categorias (NomeCategoria, DescricaoCategoria) SELECT "&amp;"'"&amp;SUBSTITUTE($A51,"'","''")&amp;"'"&amp;", "&amp;IF($B51="","NULL","'"&amp;SUBSTITUTE($B51,"'","''")&amp;"'")&amp;" WHERE NOT EXISTS (SELECT 1 FROM Categorias WHERE NomeCategoria = "&amp;"'"&amp;SUBSTITUTE($A51,"'","''")&amp;"'"&amp;");")</f>
        <v/>
      </c>
    </row>
    <row r="52" customFormat="false" ht="15" hidden="false" customHeight="false" outlineLevel="0" collapsed="false">
      <c r="A52" s="26"/>
      <c r="B52" s="26"/>
      <c r="D52" s="25" t="str">
        <f aca="false">IF($A52="","","INSERT INTO Categorias (NomeCategoria, DescricaoCategoria) SELECT "&amp;"'"&amp;SUBSTITUTE($A52,"'","''")&amp;"'"&amp;", "&amp;IF($B52="","NULL","'"&amp;SUBSTITUTE($B52,"'","''")&amp;"'")&amp;" WHERE NOT EXISTS (SELECT 1 FROM Categorias WHERE NomeCategoria = "&amp;"'"&amp;SUBSTITUTE($A52,"'","''")&amp;"'"&amp;");")</f>
        <v/>
      </c>
    </row>
    <row r="53" customFormat="false" ht="15" hidden="false" customHeight="false" outlineLevel="0" collapsed="false">
      <c r="A53" s="26"/>
      <c r="B53" s="26"/>
      <c r="D53" s="25" t="str">
        <f aca="false">IF($A53="","","INSERT INTO Categorias (NomeCategoria, DescricaoCategoria) SELECT "&amp;"'"&amp;SUBSTITUTE($A53,"'","''")&amp;"'"&amp;", "&amp;IF($B53="","NULL","'"&amp;SUBSTITUTE($B53,"'","''")&amp;"'")&amp;" WHERE NOT EXISTS (SELECT 1 FROM Categorias WHERE NomeCategoria = "&amp;"'"&amp;SUBSTITUTE($A53,"'","''")&amp;"'"&amp;");")</f>
        <v/>
      </c>
    </row>
    <row r="54" customFormat="false" ht="15" hidden="false" customHeight="false" outlineLevel="0" collapsed="false">
      <c r="A54" s="26"/>
      <c r="B54" s="26"/>
      <c r="D54" s="25" t="str">
        <f aca="false">IF($A54="","","INSERT INTO Categorias (NomeCategoria, DescricaoCategoria) SELECT "&amp;"'"&amp;SUBSTITUTE($A54,"'","''")&amp;"'"&amp;", "&amp;IF($B54="","NULL","'"&amp;SUBSTITUTE($B54,"'","''")&amp;"'")&amp;" WHERE NOT EXISTS (SELECT 1 FROM Categorias WHERE NomeCategoria = "&amp;"'"&amp;SUBSTITUTE($A54,"'","''")&amp;"'"&amp;");")</f>
        <v/>
      </c>
    </row>
    <row r="55" customFormat="false" ht="15" hidden="false" customHeight="false" outlineLevel="0" collapsed="false">
      <c r="A55" s="26"/>
      <c r="B55" s="26"/>
      <c r="D55" s="25" t="str">
        <f aca="false">IF($A55="","","INSERT INTO Categorias (NomeCategoria, DescricaoCategoria) SELECT "&amp;"'"&amp;SUBSTITUTE($A55,"'","''")&amp;"'"&amp;", "&amp;IF($B55="","NULL","'"&amp;SUBSTITUTE($B55,"'","''")&amp;"'")&amp;" WHERE NOT EXISTS (SELECT 1 FROM Categorias WHERE NomeCategoria = "&amp;"'"&amp;SUBSTITUTE($A55,"'","''")&amp;"'"&amp;");")</f>
        <v/>
      </c>
    </row>
    <row r="56" customFormat="false" ht="15" hidden="false" customHeight="false" outlineLevel="0" collapsed="false">
      <c r="A56" s="26"/>
      <c r="B56" s="26"/>
      <c r="D56" s="25" t="str">
        <f aca="false">IF($A56="","","INSERT INTO Categorias (NomeCategoria, DescricaoCategoria) SELECT "&amp;"'"&amp;SUBSTITUTE($A56,"'","''")&amp;"'"&amp;", "&amp;IF($B56="","NULL","'"&amp;SUBSTITUTE($B56,"'","''")&amp;"'")&amp;" WHERE NOT EXISTS (SELECT 1 FROM Categorias WHERE NomeCategoria = "&amp;"'"&amp;SUBSTITUTE($A56,"'","''")&amp;"'"&amp;");")</f>
        <v/>
      </c>
    </row>
    <row r="57" customFormat="false" ht="15" hidden="false" customHeight="false" outlineLevel="0" collapsed="false">
      <c r="A57" s="26"/>
      <c r="B57" s="26"/>
      <c r="D57" s="25" t="str">
        <f aca="false">IF($A57="","","INSERT INTO Categorias (NomeCategoria, DescricaoCategoria) SELECT "&amp;"'"&amp;SUBSTITUTE($A57,"'","''")&amp;"'"&amp;", "&amp;IF($B57="","NULL","'"&amp;SUBSTITUTE($B57,"'","''")&amp;"'")&amp;" WHERE NOT EXISTS (SELECT 1 FROM Categorias WHERE NomeCategoria = "&amp;"'"&amp;SUBSTITUTE($A57,"'","''")&amp;"'"&amp;");")</f>
        <v/>
      </c>
    </row>
    <row r="58" customFormat="false" ht="15" hidden="false" customHeight="false" outlineLevel="0" collapsed="false">
      <c r="A58" s="26"/>
      <c r="B58" s="26"/>
      <c r="D58" s="25" t="str">
        <f aca="false">IF($A58="","","INSERT INTO Categorias (NomeCategoria, DescricaoCategoria) SELECT "&amp;"'"&amp;SUBSTITUTE($A58,"'","''")&amp;"'"&amp;", "&amp;IF($B58="","NULL","'"&amp;SUBSTITUTE($B58,"'","''")&amp;"'")&amp;" WHERE NOT EXISTS (SELECT 1 FROM Categorias WHERE NomeCategoria = "&amp;"'"&amp;SUBSTITUTE($A58,"'","''")&amp;"'"&amp;");")</f>
        <v/>
      </c>
    </row>
    <row r="59" customFormat="false" ht="15" hidden="false" customHeight="false" outlineLevel="0" collapsed="false">
      <c r="A59" s="26"/>
      <c r="B59" s="26"/>
      <c r="D59" s="25" t="str">
        <f aca="false">IF($A59="","","INSERT INTO Categorias (NomeCategoria, DescricaoCategoria) SELECT "&amp;"'"&amp;SUBSTITUTE($A59,"'","''")&amp;"'"&amp;", "&amp;IF($B59="","NULL","'"&amp;SUBSTITUTE($B59,"'","''")&amp;"'")&amp;" WHERE NOT EXISTS (SELECT 1 FROM Categorias WHERE NomeCategoria = "&amp;"'"&amp;SUBSTITUTE($A59,"'","''")&amp;"'"&amp;");")</f>
        <v/>
      </c>
    </row>
    <row r="60" customFormat="false" ht="15" hidden="false" customHeight="false" outlineLevel="0" collapsed="false">
      <c r="A60" s="26"/>
      <c r="B60" s="26"/>
      <c r="D60" s="25" t="str">
        <f aca="false">IF($A60="","","INSERT INTO Categorias (NomeCategoria, DescricaoCategoria) SELECT "&amp;"'"&amp;SUBSTITUTE($A60,"'","''")&amp;"'"&amp;", "&amp;IF($B60="","NULL","'"&amp;SUBSTITUTE($B60,"'","''")&amp;"'")&amp;" WHERE NOT EXISTS (SELECT 1 FROM Categorias WHERE NomeCategoria = "&amp;"'"&amp;SUBSTITUTE($A60,"'","''")&amp;"'"&amp;");")</f>
        <v/>
      </c>
    </row>
    <row r="61" customFormat="false" ht="15" hidden="false" customHeight="false" outlineLevel="0" collapsed="false">
      <c r="A61" s="26"/>
      <c r="B61" s="26"/>
      <c r="D61" s="25" t="str">
        <f aca="false">IF($A61="","","INSERT INTO Categorias (NomeCategoria, DescricaoCategoria) SELECT "&amp;"'"&amp;SUBSTITUTE($A61,"'","''")&amp;"'"&amp;", "&amp;IF($B61="","NULL","'"&amp;SUBSTITUTE($B61,"'","''")&amp;"'")&amp;" WHERE NOT EXISTS (SELECT 1 FROM Categorias WHERE NomeCategoria = "&amp;"'"&amp;SUBSTITUTE($A61,"'","''")&amp;"'"&amp;");")</f>
        <v/>
      </c>
    </row>
    <row r="62" customFormat="false" ht="15" hidden="false" customHeight="false" outlineLevel="0" collapsed="false">
      <c r="A62" s="26"/>
      <c r="B62" s="26"/>
      <c r="D62" s="25" t="str">
        <f aca="false">IF($A62="","","INSERT INTO Categorias (NomeCategoria, DescricaoCategoria) SELECT "&amp;"'"&amp;SUBSTITUTE($A62,"'","''")&amp;"'"&amp;", "&amp;IF($B62="","NULL","'"&amp;SUBSTITUTE($B62,"'","''")&amp;"'")&amp;" WHERE NOT EXISTS (SELECT 1 FROM Categorias WHERE NomeCategoria = "&amp;"'"&amp;SUBSTITUTE($A62,"'","''")&amp;"'"&amp;");")</f>
        <v/>
      </c>
    </row>
    <row r="63" customFormat="false" ht="15" hidden="false" customHeight="false" outlineLevel="0" collapsed="false">
      <c r="A63" s="26"/>
      <c r="B63" s="26"/>
      <c r="D63" s="25" t="str">
        <f aca="false">IF($A63="","","INSERT INTO Categorias (NomeCategoria, DescricaoCategoria) SELECT "&amp;"'"&amp;SUBSTITUTE($A63,"'","''")&amp;"'"&amp;", "&amp;IF($B63="","NULL","'"&amp;SUBSTITUTE($B63,"'","''")&amp;"'")&amp;" WHERE NOT EXISTS (SELECT 1 FROM Categorias WHERE NomeCategoria = "&amp;"'"&amp;SUBSTITUTE($A63,"'","''")&amp;"'"&amp;");")</f>
        <v/>
      </c>
    </row>
    <row r="64" customFormat="false" ht="15" hidden="false" customHeight="false" outlineLevel="0" collapsed="false">
      <c r="A64" s="26"/>
      <c r="B64" s="26"/>
      <c r="D64" s="25" t="str">
        <f aca="false">IF($A64="","","INSERT INTO Categorias (NomeCategoria, DescricaoCategoria) SELECT "&amp;"'"&amp;SUBSTITUTE($A64,"'","''")&amp;"'"&amp;", "&amp;IF($B64="","NULL","'"&amp;SUBSTITUTE($B64,"'","''")&amp;"'")&amp;" WHERE NOT EXISTS (SELECT 1 FROM Categorias WHERE NomeCategoria = "&amp;"'"&amp;SUBSTITUTE($A64,"'","''")&amp;"'"&amp;");")</f>
        <v/>
      </c>
    </row>
    <row r="65" customFormat="false" ht="15" hidden="false" customHeight="false" outlineLevel="0" collapsed="false">
      <c r="A65" s="26"/>
      <c r="B65" s="26"/>
      <c r="D65" s="25" t="str">
        <f aca="false">IF($A65="","","INSERT INTO Categorias (NomeCategoria, DescricaoCategoria) SELECT "&amp;"'"&amp;SUBSTITUTE($A65,"'","''")&amp;"'"&amp;", "&amp;IF($B65="","NULL","'"&amp;SUBSTITUTE($B65,"'","''")&amp;"'")&amp;" WHERE NOT EXISTS (SELECT 1 FROM Categorias WHERE NomeCategoria = "&amp;"'"&amp;SUBSTITUTE($A65,"'","''")&amp;"'"&amp;");")</f>
        <v/>
      </c>
    </row>
    <row r="66" customFormat="false" ht="15" hidden="false" customHeight="false" outlineLevel="0" collapsed="false">
      <c r="A66" s="26"/>
      <c r="B66" s="26"/>
      <c r="D66" s="25" t="str">
        <f aca="false">IF($A66="","","INSERT INTO Categorias (NomeCategoria, DescricaoCategoria) SELECT "&amp;"'"&amp;SUBSTITUTE($A66,"'","''")&amp;"'"&amp;", "&amp;IF($B66="","NULL","'"&amp;SUBSTITUTE($B66,"'","''")&amp;"'")&amp;" WHERE NOT EXISTS (SELECT 1 FROM Categorias WHERE NomeCategoria = "&amp;"'"&amp;SUBSTITUTE($A66,"'","''")&amp;"'"&amp;");")</f>
        <v/>
      </c>
    </row>
    <row r="67" customFormat="false" ht="15" hidden="false" customHeight="false" outlineLevel="0" collapsed="false">
      <c r="A67" s="26"/>
      <c r="B67" s="26"/>
      <c r="D67" s="25" t="str">
        <f aca="false">IF($A67="","","INSERT INTO Categorias (NomeCategoria, DescricaoCategoria) SELECT "&amp;"'"&amp;SUBSTITUTE($A67,"'","''")&amp;"'"&amp;", "&amp;IF($B67="","NULL","'"&amp;SUBSTITUTE($B67,"'","''")&amp;"'")&amp;" WHERE NOT EXISTS (SELECT 1 FROM Categorias WHERE NomeCategoria = "&amp;"'"&amp;SUBSTITUTE($A67,"'","''")&amp;"'"&amp;");")</f>
        <v/>
      </c>
    </row>
    <row r="68" customFormat="false" ht="15" hidden="false" customHeight="false" outlineLevel="0" collapsed="false">
      <c r="A68" s="26"/>
      <c r="B68" s="26"/>
      <c r="D68" s="25" t="str">
        <f aca="false">IF($A68="","","INSERT INTO Categorias (NomeCategoria, DescricaoCategoria) SELECT "&amp;"'"&amp;SUBSTITUTE($A68,"'","''")&amp;"'"&amp;", "&amp;IF($B68="","NULL","'"&amp;SUBSTITUTE($B68,"'","''")&amp;"'")&amp;" WHERE NOT EXISTS (SELECT 1 FROM Categorias WHERE NomeCategoria = "&amp;"'"&amp;SUBSTITUTE($A68,"'","''")&amp;"'"&amp;");")</f>
        <v/>
      </c>
    </row>
    <row r="69" customFormat="false" ht="15" hidden="false" customHeight="false" outlineLevel="0" collapsed="false">
      <c r="A69" s="26"/>
      <c r="B69" s="26"/>
      <c r="D69" s="25" t="str">
        <f aca="false">IF($A69="","","INSERT INTO Categorias (NomeCategoria, DescricaoCategoria) SELECT "&amp;"'"&amp;SUBSTITUTE($A69,"'","''")&amp;"'"&amp;", "&amp;IF($B69="","NULL","'"&amp;SUBSTITUTE($B69,"'","''")&amp;"'")&amp;" WHERE NOT EXISTS (SELECT 1 FROM Categorias WHERE NomeCategoria = "&amp;"'"&amp;SUBSTITUTE($A69,"'","''")&amp;"'"&amp;");")</f>
        <v/>
      </c>
    </row>
    <row r="70" customFormat="false" ht="15" hidden="false" customHeight="false" outlineLevel="0" collapsed="false">
      <c r="A70" s="26"/>
      <c r="B70" s="26"/>
      <c r="D70" s="25" t="str">
        <f aca="false">IF($A70="","","INSERT INTO Categorias (NomeCategoria, DescricaoCategoria) SELECT "&amp;"'"&amp;SUBSTITUTE($A70,"'","''")&amp;"'"&amp;", "&amp;IF($B70="","NULL","'"&amp;SUBSTITUTE($B70,"'","''")&amp;"'")&amp;" WHERE NOT EXISTS (SELECT 1 FROM Categorias WHERE NomeCategoria = "&amp;"'"&amp;SUBSTITUTE($A70,"'","''")&amp;"'"&amp;");")</f>
        <v/>
      </c>
    </row>
    <row r="71" customFormat="false" ht="15" hidden="false" customHeight="false" outlineLevel="0" collapsed="false">
      <c r="A71" s="26"/>
      <c r="B71" s="26"/>
      <c r="D71" s="25" t="str">
        <f aca="false">IF($A71="","","INSERT INTO Categorias (NomeCategoria, DescricaoCategoria) SELECT "&amp;"'"&amp;SUBSTITUTE($A71,"'","''")&amp;"'"&amp;", "&amp;IF($B71="","NULL","'"&amp;SUBSTITUTE($B71,"'","''")&amp;"'")&amp;" WHERE NOT EXISTS (SELECT 1 FROM Categorias WHERE NomeCategoria = "&amp;"'"&amp;SUBSTITUTE($A71,"'","''")&amp;"'"&amp;");")</f>
        <v/>
      </c>
    </row>
    <row r="72" customFormat="false" ht="15" hidden="false" customHeight="false" outlineLevel="0" collapsed="false">
      <c r="A72" s="26"/>
      <c r="B72" s="26"/>
      <c r="D72" s="25" t="str">
        <f aca="false">IF($A72="","","INSERT INTO Categorias (NomeCategoria, DescricaoCategoria) SELECT "&amp;"'"&amp;SUBSTITUTE($A72,"'","''")&amp;"'"&amp;", "&amp;IF($B72="","NULL","'"&amp;SUBSTITUTE($B72,"'","''")&amp;"'")&amp;" WHERE NOT EXISTS (SELECT 1 FROM Categorias WHERE NomeCategoria = "&amp;"'"&amp;SUBSTITUTE($A72,"'","''")&amp;"'"&amp;");")</f>
        <v/>
      </c>
    </row>
    <row r="73" customFormat="false" ht="15" hidden="false" customHeight="false" outlineLevel="0" collapsed="false">
      <c r="A73" s="26"/>
      <c r="B73" s="26"/>
      <c r="D73" s="25" t="str">
        <f aca="false">IF($A73="","","INSERT INTO Categorias (NomeCategoria, DescricaoCategoria) SELECT "&amp;"'"&amp;SUBSTITUTE($A73,"'","''")&amp;"'"&amp;", "&amp;IF($B73="","NULL","'"&amp;SUBSTITUTE($B73,"'","''")&amp;"'")&amp;" WHERE NOT EXISTS (SELECT 1 FROM Categorias WHERE NomeCategoria = "&amp;"'"&amp;SUBSTITUTE($A73,"'","''")&amp;"'"&amp;");")</f>
        <v/>
      </c>
    </row>
    <row r="74" customFormat="false" ht="15" hidden="false" customHeight="false" outlineLevel="0" collapsed="false">
      <c r="A74" s="26"/>
      <c r="B74" s="26"/>
      <c r="D74" s="25" t="str">
        <f aca="false">IF($A74="","","INSERT INTO Categorias (NomeCategoria, DescricaoCategoria) SELECT "&amp;"'"&amp;SUBSTITUTE($A74,"'","''")&amp;"'"&amp;", "&amp;IF($B74="","NULL","'"&amp;SUBSTITUTE($B74,"'","''")&amp;"'")&amp;" WHERE NOT EXISTS (SELECT 1 FROM Categorias WHERE NomeCategoria = "&amp;"'"&amp;SUBSTITUTE($A74,"'","''")&amp;"'"&amp;");")</f>
        <v/>
      </c>
    </row>
    <row r="75" customFormat="false" ht="15" hidden="false" customHeight="false" outlineLevel="0" collapsed="false">
      <c r="A75" s="26"/>
      <c r="B75" s="26"/>
      <c r="D75" s="25" t="str">
        <f aca="false">IF($A75="","","INSERT INTO Categorias (NomeCategoria, DescricaoCategoria) SELECT "&amp;"'"&amp;SUBSTITUTE($A75,"'","''")&amp;"'"&amp;", "&amp;IF($B75="","NULL","'"&amp;SUBSTITUTE($B75,"'","''")&amp;"'")&amp;" WHERE NOT EXISTS (SELECT 1 FROM Categorias WHERE NomeCategoria = "&amp;"'"&amp;SUBSTITUTE($A75,"'","''")&amp;"'"&amp;");")</f>
        <v/>
      </c>
    </row>
    <row r="76" customFormat="false" ht="15" hidden="false" customHeight="false" outlineLevel="0" collapsed="false">
      <c r="A76" s="26"/>
      <c r="B76" s="26"/>
      <c r="D76" s="25" t="str">
        <f aca="false">IF($A76="","","INSERT INTO Categorias (NomeCategoria, DescricaoCategoria) SELECT "&amp;"'"&amp;SUBSTITUTE($A76,"'","''")&amp;"'"&amp;", "&amp;IF($B76="","NULL","'"&amp;SUBSTITUTE($B76,"'","''")&amp;"'")&amp;" WHERE NOT EXISTS (SELECT 1 FROM Categorias WHERE NomeCategoria = "&amp;"'"&amp;SUBSTITUTE($A76,"'","''")&amp;"'"&amp;");")</f>
        <v/>
      </c>
    </row>
    <row r="77" customFormat="false" ht="15" hidden="false" customHeight="false" outlineLevel="0" collapsed="false">
      <c r="A77" s="26"/>
      <c r="B77" s="26"/>
      <c r="D77" s="25" t="str">
        <f aca="false">IF($A77="","","INSERT INTO Categorias (NomeCategoria, DescricaoCategoria) SELECT "&amp;"'"&amp;SUBSTITUTE($A77,"'","''")&amp;"'"&amp;", "&amp;IF($B77="","NULL","'"&amp;SUBSTITUTE($B77,"'","''")&amp;"'")&amp;" WHERE NOT EXISTS (SELECT 1 FROM Categorias WHERE NomeCategoria = "&amp;"'"&amp;SUBSTITUTE($A77,"'","''")&amp;"'"&amp;");")</f>
        <v/>
      </c>
    </row>
    <row r="78" customFormat="false" ht="15" hidden="false" customHeight="false" outlineLevel="0" collapsed="false">
      <c r="A78" s="26"/>
      <c r="B78" s="26"/>
      <c r="D78" s="25" t="str">
        <f aca="false">IF($A78="","","INSERT INTO Categorias (NomeCategoria, DescricaoCategoria) SELECT "&amp;"'"&amp;SUBSTITUTE($A78,"'","''")&amp;"'"&amp;", "&amp;IF($B78="","NULL","'"&amp;SUBSTITUTE($B78,"'","''")&amp;"'")&amp;" WHERE NOT EXISTS (SELECT 1 FROM Categorias WHERE NomeCategoria = "&amp;"'"&amp;SUBSTITUTE($A78,"'","''")&amp;"'"&amp;");")</f>
        <v/>
      </c>
    </row>
    <row r="79" customFormat="false" ht="15" hidden="false" customHeight="false" outlineLevel="0" collapsed="false">
      <c r="A79" s="26"/>
      <c r="B79" s="26"/>
      <c r="D79" s="25" t="str">
        <f aca="false">IF($A79="","","INSERT INTO Categorias (NomeCategoria, DescricaoCategoria) SELECT "&amp;"'"&amp;SUBSTITUTE($A79,"'","''")&amp;"'"&amp;", "&amp;IF($B79="","NULL","'"&amp;SUBSTITUTE($B79,"'","''")&amp;"'")&amp;" WHERE NOT EXISTS (SELECT 1 FROM Categorias WHERE NomeCategoria = "&amp;"'"&amp;SUBSTITUTE($A79,"'","''")&amp;"'"&amp;");")</f>
        <v/>
      </c>
    </row>
    <row r="80" customFormat="false" ht="15" hidden="false" customHeight="false" outlineLevel="0" collapsed="false">
      <c r="A80" s="26"/>
      <c r="B80" s="26"/>
      <c r="D80" s="25" t="str">
        <f aca="false">IF($A80="","","INSERT INTO Categorias (NomeCategoria, DescricaoCategoria) SELECT "&amp;"'"&amp;SUBSTITUTE($A80,"'","''")&amp;"'"&amp;", "&amp;IF($B80="","NULL","'"&amp;SUBSTITUTE($B80,"'","''")&amp;"'")&amp;" WHERE NOT EXISTS (SELECT 1 FROM Categorias WHERE NomeCategoria = "&amp;"'"&amp;SUBSTITUTE($A80,"'","''")&amp;"'"&amp;");")</f>
        <v/>
      </c>
    </row>
    <row r="81" customFormat="false" ht="15" hidden="false" customHeight="false" outlineLevel="0" collapsed="false">
      <c r="A81" s="26"/>
      <c r="B81" s="26"/>
      <c r="D81" s="25" t="str">
        <f aca="false">IF($A81="","","INSERT INTO Categorias (NomeCategoria, DescricaoCategoria) SELECT "&amp;"'"&amp;SUBSTITUTE($A81,"'","''")&amp;"'"&amp;", "&amp;IF($B81="","NULL","'"&amp;SUBSTITUTE($B81,"'","''")&amp;"'")&amp;" WHERE NOT EXISTS (SELECT 1 FROM Categorias WHERE NomeCategoria = "&amp;"'"&amp;SUBSTITUTE($A81,"'","''")&amp;"'"&amp;");")</f>
        <v/>
      </c>
    </row>
    <row r="82" customFormat="false" ht="15" hidden="false" customHeight="false" outlineLevel="0" collapsed="false">
      <c r="A82" s="26"/>
      <c r="B82" s="26"/>
      <c r="D82" s="25" t="str">
        <f aca="false">IF($A82="","","INSERT INTO Categorias (NomeCategoria, DescricaoCategoria) SELECT "&amp;"'"&amp;SUBSTITUTE($A82,"'","''")&amp;"'"&amp;", "&amp;IF($B82="","NULL","'"&amp;SUBSTITUTE($B82,"'","''")&amp;"'")&amp;" WHERE NOT EXISTS (SELECT 1 FROM Categorias WHERE NomeCategoria = "&amp;"'"&amp;SUBSTITUTE($A82,"'","''")&amp;"'"&amp;");")</f>
        <v/>
      </c>
    </row>
    <row r="83" customFormat="false" ht="15" hidden="false" customHeight="false" outlineLevel="0" collapsed="false">
      <c r="A83" s="26"/>
      <c r="B83" s="26"/>
      <c r="D83" s="25" t="str">
        <f aca="false">IF($A83="","","INSERT INTO Categorias (NomeCategoria, DescricaoCategoria) SELECT "&amp;"'"&amp;SUBSTITUTE($A83,"'","''")&amp;"'"&amp;", "&amp;IF($B83="","NULL","'"&amp;SUBSTITUTE($B83,"'","''")&amp;"'")&amp;" WHERE NOT EXISTS (SELECT 1 FROM Categorias WHERE NomeCategoria = "&amp;"'"&amp;SUBSTITUTE($A83,"'","''")&amp;"'"&amp;");")</f>
        <v/>
      </c>
    </row>
    <row r="84" customFormat="false" ht="15" hidden="false" customHeight="false" outlineLevel="0" collapsed="false">
      <c r="A84" s="26"/>
      <c r="B84" s="26"/>
      <c r="D84" s="25" t="str">
        <f aca="false">IF($A84="","","INSERT INTO Categorias (NomeCategoria, DescricaoCategoria) SELECT "&amp;"'"&amp;SUBSTITUTE($A84,"'","''")&amp;"'"&amp;", "&amp;IF($B84="","NULL","'"&amp;SUBSTITUTE($B84,"'","''")&amp;"'")&amp;" WHERE NOT EXISTS (SELECT 1 FROM Categorias WHERE NomeCategoria = "&amp;"'"&amp;SUBSTITUTE($A84,"'","''")&amp;"'"&amp;");")</f>
        <v/>
      </c>
    </row>
    <row r="85" customFormat="false" ht="15" hidden="false" customHeight="false" outlineLevel="0" collapsed="false">
      <c r="A85" s="26"/>
      <c r="B85" s="26"/>
      <c r="D85" s="25" t="str">
        <f aca="false">IF($A85="","","INSERT INTO Categorias (NomeCategoria, DescricaoCategoria) SELECT "&amp;"'"&amp;SUBSTITUTE($A85,"'","''")&amp;"'"&amp;", "&amp;IF($B85="","NULL","'"&amp;SUBSTITUTE($B85,"'","''")&amp;"'")&amp;" WHERE NOT EXISTS (SELECT 1 FROM Categorias WHERE NomeCategoria = "&amp;"'"&amp;SUBSTITUTE($A85,"'","''")&amp;"'"&amp;");")</f>
        <v/>
      </c>
    </row>
    <row r="86" customFormat="false" ht="15" hidden="false" customHeight="false" outlineLevel="0" collapsed="false">
      <c r="A86" s="26"/>
      <c r="B86" s="26"/>
      <c r="D86" s="25" t="str">
        <f aca="false">IF($A86="","","INSERT INTO Categorias (NomeCategoria, DescricaoCategoria) SELECT "&amp;"'"&amp;SUBSTITUTE($A86,"'","''")&amp;"'"&amp;", "&amp;IF($B86="","NULL","'"&amp;SUBSTITUTE($B86,"'","''")&amp;"'")&amp;" WHERE NOT EXISTS (SELECT 1 FROM Categorias WHERE NomeCategoria = "&amp;"'"&amp;SUBSTITUTE($A86,"'","''")&amp;"'"&amp;");")</f>
        <v/>
      </c>
    </row>
    <row r="87" customFormat="false" ht="15" hidden="false" customHeight="false" outlineLevel="0" collapsed="false">
      <c r="A87" s="26"/>
      <c r="B87" s="26"/>
      <c r="D87" s="25" t="str">
        <f aca="false">IF($A87="","","INSERT INTO Categorias (NomeCategoria, DescricaoCategoria) SELECT "&amp;"'"&amp;SUBSTITUTE($A87,"'","''")&amp;"'"&amp;", "&amp;IF($B87="","NULL","'"&amp;SUBSTITUTE($B87,"'","''")&amp;"'")&amp;" WHERE NOT EXISTS (SELECT 1 FROM Categorias WHERE NomeCategoria = "&amp;"'"&amp;SUBSTITUTE($A87,"'","''")&amp;"'"&amp;");")</f>
        <v/>
      </c>
    </row>
    <row r="88" customFormat="false" ht="15" hidden="false" customHeight="false" outlineLevel="0" collapsed="false">
      <c r="A88" s="26"/>
      <c r="B88" s="26"/>
      <c r="D88" s="25" t="str">
        <f aca="false">IF($A88="","","INSERT INTO Categorias (NomeCategoria, DescricaoCategoria) SELECT "&amp;"'"&amp;SUBSTITUTE($A88,"'","''")&amp;"'"&amp;", "&amp;IF($B88="","NULL","'"&amp;SUBSTITUTE($B88,"'","''")&amp;"'")&amp;" WHERE NOT EXISTS (SELECT 1 FROM Categorias WHERE NomeCategoria = "&amp;"'"&amp;SUBSTITUTE($A88,"'","''")&amp;"'"&amp;");")</f>
        <v/>
      </c>
    </row>
    <row r="89" customFormat="false" ht="15" hidden="false" customHeight="false" outlineLevel="0" collapsed="false">
      <c r="A89" s="26"/>
      <c r="B89" s="26"/>
      <c r="D89" s="25" t="str">
        <f aca="false">IF($A89="","","INSERT INTO Categorias (NomeCategoria, DescricaoCategoria) SELECT "&amp;"'"&amp;SUBSTITUTE($A89,"'","''")&amp;"'"&amp;", "&amp;IF($B89="","NULL","'"&amp;SUBSTITUTE($B89,"'","''")&amp;"'")&amp;" WHERE NOT EXISTS (SELECT 1 FROM Categorias WHERE NomeCategoria = "&amp;"'"&amp;SUBSTITUTE($A89,"'","''")&amp;"'"&amp;");")</f>
        <v/>
      </c>
    </row>
    <row r="90" customFormat="false" ht="15" hidden="false" customHeight="false" outlineLevel="0" collapsed="false">
      <c r="A90" s="26"/>
      <c r="B90" s="26"/>
      <c r="D90" s="25" t="str">
        <f aca="false">IF($A90="","","INSERT INTO Categorias (NomeCategoria, DescricaoCategoria) SELECT "&amp;"'"&amp;SUBSTITUTE($A90,"'","''")&amp;"'"&amp;", "&amp;IF($B90="","NULL","'"&amp;SUBSTITUTE($B90,"'","''")&amp;"'")&amp;" WHERE NOT EXISTS (SELECT 1 FROM Categorias WHERE NomeCategoria = "&amp;"'"&amp;SUBSTITUTE($A90,"'","''")&amp;"'"&amp;");")</f>
        <v/>
      </c>
    </row>
    <row r="91" customFormat="false" ht="15" hidden="false" customHeight="false" outlineLevel="0" collapsed="false">
      <c r="A91" s="26"/>
      <c r="B91" s="26"/>
      <c r="D91" s="25" t="str">
        <f aca="false">IF($A91="","","INSERT INTO Categorias (NomeCategoria, DescricaoCategoria) SELECT "&amp;"'"&amp;SUBSTITUTE($A91,"'","''")&amp;"'"&amp;", "&amp;IF($B91="","NULL","'"&amp;SUBSTITUTE($B91,"'","''")&amp;"'")&amp;" WHERE NOT EXISTS (SELECT 1 FROM Categorias WHERE NomeCategoria = "&amp;"'"&amp;SUBSTITUTE($A91,"'","''")&amp;"'"&amp;");")</f>
        <v/>
      </c>
    </row>
    <row r="92" customFormat="false" ht="15" hidden="false" customHeight="false" outlineLevel="0" collapsed="false">
      <c r="A92" s="26"/>
      <c r="B92" s="26"/>
      <c r="D92" s="25" t="str">
        <f aca="false">IF($A92="","","INSERT INTO Categorias (NomeCategoria, DescricaoCategoria) SELECT "&amp;"'"&amp;SUBSTITUTE($A92,"'","''")&amp;"'"&amp;", "&amp;IF($B92="","NULL","'"&amp;SUBSTITUTE($B92,"'","''")&amp;"'")&amp;" WHERE NOT EXISTS (SELECT 1 FROM Categorias WHERE NomeCategoria = "&amp;"'"&amp;SUBSTITUTE($A92,"'","''")&amp;"'"&amp;");")</f>
        <v/>
      </c>
    </row>
    <row r="93" customFormat="false" ht="15" hidden="false" customHeight="false" outlineLevel="0" collapsed="false">
      <c r="A93" s="26"/>
      <c r="B93" s="26"/>
      <c r="D93" s="25" t="str">
        <f aca="false">IF($A93="","","INSERT INTO Categorias (NomeCategoria, DescricaoCategoria) SELECT "&amp;"'"&amp;SUBSTITUTE($A93,"'","''")&amp;"'"&amp;", "&amp;IF($B93="","NULL","'"&amp;SUBSTITUTE($B93,"'","''")&amp;"'")&amp;" WHERE NOT EXISTS (SELECT 1 FROM Categorias WHERE NomeCategoria = "&amp;"'"&amp;SUBSTITUTE($A93,"'","''")&amp;"'"&amp;");")</f>
        <v/>
      </c>
    </row>
    <row r="94" customFormat="false" ht="15" hidden="false" customHeight="false" outlineLevel="0" collapsed="false">
      <c r="A94" s="26"/>
      <c r="B94" s="26"/>
      <c r="D94" s="25" t="str">
        <f aca="false">IF($A94="","","INSERT INTO Categorias (NomeCategoria, DescricaoCategoria) SELECT "&amp;"'"&amp;SUBSTITUTE($A94,"'","''")&amp;"'"&amp;", "&amp;IF($B94="","NULL","'"&amp;SUBSTITUTE($B94,"'","''")&amp;"'")&amp;" WHERE NOT EXISTS (SELECT 1 FROM Categorias WHERE NomeCategoria = "&amp;"'"&amp;SUBSTITUTE($A94,"'","''")&amp;"'"&amp;");")</f>
        <v/>
      </c>
    </row>
    <row r="95" customFormat="false" ht="15" hidden="false" customHeight="false" outlineLevel="0" collapsed="false">
      <c r="A95" s="26"/>
      <c r="B95" s="26"/>
      <c r="D95" s="25" t="str">
        <f aca="false">IF($A95="","","INSERT INTO Categorias (NomeCategoria, DescricaoCategoria) SELECT "&amp;"'"&amp;SUBSTITUTE($A95,"'","''")&amp;"'"&amp;", "&amp;IF($B95="","NULL","'"&amp;SUBSTITUTE($B95,"'","''")&amp;"'")&amp;" WHERE NOT EXISTS (SELECT 1 FROM Categorias WHERE NomeCategoria = "&amp;"'"&amp;SUBSTITUTE($A95,"'","''")&amp;"'"&amp;");")</f>
        <v/>
      </c>
    </row>
    <row r="96" customFormat="false" ht="15" hidden="false" customHeight="false" outlineLevel="0" collapsed="false">
      <c r="A96" s="26"/>
      <c r="B96" s="26"/>
      <c r="D96" s="25" t="str">
        <f aca="false">IF($A96="","","INSERT INTO Categorias (NomeCategoria, DescricaoCategoria) SELECT "&amp;"'"&amp;SUBSTITUTE($A96,"'","''")&amp;"'"&amp;", "&amp;IF($B96="","NULL","'"&amp;SUBSTITUTE($B96,"'","''")&amp;"'")&amp;" WHERE NOT EXISTS (SELECT 1 FROM Categorias WHERE NomeCategoria = "&amp;"'"&amp;SUBSTITUTE($A96,"'","''")&amp;"'"&amp;");")</f>
        <v/>
      </c>
    </row>
    <row r="97" customFormat="false" ht="15" hidden="false" customHeight="false" outlineLevel="0" collapsed="false">
      <c r="A97" s="26"/>
      <c r="B97" s="26"/>
      <c r="D97" s="25" t="str">
        <f aca="false">IF($A97="","","INSERT INTO Categorias (NomeCategoria, DescricaoCategoria) SELECT "&amp;"'"&amp;SUBSTITUTE($A97,"'","''")&amp;"'"&amp;", "&amp;IF($B97="","NULL","'"&amp;SUBSTITUTE($B97,"'","''")&amp;"'")&amp;" WHERE NOT EXISTS (SELECT 1 FROM Categorias WHERE NomeCategoria = "&amp;"'"&amp;SUBSTITUTE($A97,"'","''")&amp;"'"&amp;");")</f>
        <v/>
      </c>
    </row>
    <row r="98" customFormat="false" ht="15" hidden="false" customHeight="false" outlineLevel="0" collapsed="false">
      <c r="A98" s="26"/>
      <c r="B98" s="26"/>
      <c r="D98" s="25" t="str">
        <f aca="false">IF($A98="","","INSERT INTO Categorias (NomeCategoria, DescricaoCategoria) SELECT "&amp;"'"&amp;SUBSTITUTE($A98,"'","''")&amp;"'"&amp;", "&amp;IF($B98="","NULL","'"&amp;SUBSTITUTE($B98,"'","''")&amp;"'")&amp;" WHERE NOT EXISTS (SELECT 1 FROM Categorias WHERE NomeCategoria = "&amp;"'"&amp;SUBSTITUTE($A98,"'","''")&amp;"'"&amp;");")</f>
        <v/>
      </c>
    </row>
    <row r="99" customFormat="false" ht="15" hidden="false" customHeight="false" outlineLevel="0" collapsed="false">
      <c r="A99" s="26"/>
      <c r="B99" s="26"/>
      <c r="D99" s="25" t="str">
        <f aca="false">IF($A99="","","INSERT INTO Categorias (NomeCategoria, DescricaoCategoria) SELECT "&amp;"'"&amp;SUBSTITUTE($A99,"'","''")&amp;"'"&amp;", "&amp;IF($B99="","NULL","'"&amp;SUBSTITUTE($B99,"'","''")&amp;"'")&amp;" WHERE NOT EXISTS (SELECT 1 FROM Categorias WHERE NomeCategoria = "&amp;"'"&amp;SUBSTITUTE($A99,"'","''")&amp;"'"&amp;");")</f>
        <v/>
      </c>
    </row>
    <row r="100" customFormat="false" ht="15" hidden="false" customHeight="false" outlineLevel="0" collapsed="false">
      <c r="A100" s="26"/>
      <c r="B100" s="26"/>
      <c r="D100" s="25" t="str">
        <f aca="false">IF($A100="","","INSERT INTO Categorias (NomeCategoria, DescricaoCategoria) SELECT "&amp;"'"&amp;SUBSTITUTE($A100,"'","''")&amp;"'"&amp;", "&amp;IF($B100="","NULL","'"&amp;SUBSTITUTE($B100,"'","''")&amp;"'")&amp;" WHERE NOT EXISTS (SELECT 1 FROM Categorias WHERE NomeCategoria = "&amp;"'"&amp;SUBSTITUTE($A100,"'","''")&amp;"'"&amp;");")</f>
        <v/>
      </c>
    </row>
    <row r="101" customFormat="false" ht="15" hidden="false" customHeight="false" outlineLevel="0" collapsed="false">
      <c r="A101" s="26"/>
      <c r="B101" s="26"/>
      <c r="D101" s="25" t="str">
        <f aca="false">IF($A101="","","INSERT INTO Categorias (NomeCategoria, DescricaoCategoria) SELECT "&amp;"'"&amp;SUBSTITUTE($A101,"'","''")&amp;"'"&amp;", "&amp;IF($B101="","NULL","'"&amp;SUBSTITUTE($B101,"'","''")&amp;"'")&amp;" WHERE NOT EXISTS (SELECT 1 FROM Categorias WHERE NomeCategoria = "&amp;"'"&amp;SUBSTITUTE($A101,"'","''")&amp;"'"&amp;");")</f>
        <v/>
      </c>
    </row>
    <row r="102" customFormat="false" ht="15" hidden="false" customHeight="false" outlineLevel="0" collapsed="false">
      <c r="A102" s="26"/>
      <c r="B102" s="26"/>
      <c r="D102" s="25" t="str">
        <f aca="false">IF($A102="","","INSERT INTO Categorias (NomeCategoria, DescricaoCategoria) SELECT "&amp;"'"&amp;SUBSTITUTE($A102,"'","''")&amp;"'"&amp;", "&amp;IF($B102="","NULL","'"&amp;SUBSTITUTE($B102,"'","''")&amp;"'")&amp;" WHERE NOT EXISTS (SELECT 1 FROM Categorias WHERE NomeCategoria = "&amp;"'"&amp;SUBSTITUTE($A102,"'","''")&amp;"'"&amp;");")</f>
        <v/>
      </c>
    </row>
    <row r="103" customFormat="false" ht="15" hidden="false" customHeight="false" outlineLevel="0" collapsed="false">
      <c r="A103" s="26"/>
      <c r="B103" s="26"/>
      <c r="D103" s="25" t="str">
        <f aca="false">IF($A103="","","INSERT INTO Categorias (NomeCategoria, DescricaoCategoria) SELECT "&amp;"'"&amp;SUBSTITUTE($A103,"'","''")&amp;"'"&amp;", "&amp;IF($B103="","NULL","'"&amp;SUBSTITUTE($B103,"'","''")&amp;"'")&amp;" WHERE NOT EXISTS (SELECT 1 FROM Categorias WHERE NomeCategoria = "&amp;"'"&amp;SUBSTITUTE($A103,"'","''")&amp;"'"&amp;");")</f>
        <v/>
      </c>
    </row>
    <row r="104" customFormat="false" ht="15" hidden="false" customHeight="false" outlineLevel="0" collapsed="false">
      <c r="A104" s="26"/>
      <c r="B104" s="26"/>
      <c r="D104" s="25" t="str">
        <f aca="false">IF($A104="","","INSERT INTO Categorias (NomeCategoria, DescricaoCategoria) SELECT "&amp;"'"&amp;SUBSTITUTE($A104,"'","''")&amp;"'"&amp;", "&amp;IF($B104="","NULL","'"&amp;SUBSTITUTE($B104,"'","''")&amp;"'")&amp;" WHERE NOT EXISTS (SELECT 1 FROM Categorias WHERE NomeCategoria = "&amp;"'"&amp;SUBSTITUTE($A104,"'","''")&amp;"'"&amp;");")</f>
        <v/>
      </c>
    </row>
    <row r="105" customFormat="false" ht="15" hidden="false" customHeight="false" outlineLevel="0" collapsed="false">
      <c r="A105" s="26"/>
      <c r="B105" s="26"/>
      <c r="D105" s="25" t="str">
        <f aca="false">IF($A105="","","INSERT INTO Categorias (NomeCategoria, DescricaoCategoria) SELECT "&amp;"'"&amp;SUBSTITUTE($A105,"'","''")&amp;"'"&amp;", "&amp;IF($B105="","NULL","'"&amp;SUBSTITUTE($B105,"'","''")&amp;"'")&amp;" WHERE NOT EXISTS (SELECT 1 FROM Categorias WHERE NomeCategoria = "&amp;"'"&amp;SUBSTITUTE($A105,"'","''")&amp;"'"&amp;");")</f>
        <v/>
      </c>
    </row>
    <row r="106" customFormat="false" ht="15" hidden="false" customHeight="false" outlineLevel="0" collapsed="false">
      <c r="A106" s="26"/>
      <c r="B106" s="26"/>
      <c r="D106" s="25" t="str">
        <f aca="false">IF($A106="","","INSERT INTO Categorias (NomeCategoria, DescricaoCategoria) SELECT "&amp;"'"&amp;SUBSTITUTE($A106,"'","''")&amp;"'"&amp;", "&amp;IF($B106="","NULL","'"&amp;SUBSTITUTE($B106,"'","''")&amp;"'")&amp;" WHERE NOT EXISTS (SELECT 1 FROM Categorias WHERE NomeCategoria = "&amp;"'"&amp;SUBSTITUTE($A106,"'","''")&amp;"'"&amp;");")</f>
        <v/>
      </c>
    </row>
    <row r="107" customFormat="false" ht="15" hidden="false" customHeight="false" outlineLevel="0" collapsed="false">
      <c r="A107" s="26"/>
      <c r="B107" s="26"/>
      <c r="D107" s="25" t="str">
        <f aca="false">IF($A107="","","INSERT INTO Categorias (NomeCategoria, DescricaoCategoria) SELECT "&amp;"'"&amp;SUBSTITUTE($A107,"'","''")&amp;"'"&amp;", "&amp;IF($B107="","NULL","'"&amp;SUBSTITUTE($B107,"'","''")&amp;"'")&amp;" WHERE NOT EXISTS (SELECT 1 FROM Categorias WHERE NomeCategoria = "&amp;"'"&amp;SUBSTITUTE($A107,"'","''")&amp;"'"&amp;");")</f>
        <v/>
      </c>
    </row>
    <row r="108" customFormat="false" ht="15" hidden="false" customHeight="false" outlineLevel="0" collapsed="false">
      <c r="A108" s="26"/>
      <c r="B108" s="26"/>
      <c r="D108" s="25" t="str">
        <f aca="false">IF($A108="","","INSERT INTO Categorias (NomeCategoria, DescricaoCategoria) SELECT "&amp;"'"&amp;SUBSTITUTE($A108,"'","''")&amp;"'"&amp;", "&amp;IF($B108="","NULL","'"&amp;SUBSTITUTE($B108,"'","''")&amp;"'")&amp;" WHERE NOT EXISTS (SELECT 1 FROM Categorias WHERE NomeCategoria = "&amp;"'"&amp;SUBSTITUTE($A108,"'","''")&amp;"'"&amp;");")</f>
        <v/>
      </c>
    </row>
    <row r="109" customFormat="false" ht="15" hidden="false" customHeight="false" outlineLevel="0" collapsed="false">
      <c r="A109" s="26"/>
      <c r="B109" s="26"/>
      <c r="D109" s="25" t="str">
        <f aca="false">IF($A109="","","INSERT INTO Categorias (NomeCategoria, DescricaoCategoria) SELECT "&amp;"'"&amp;SUBSTITUTE($A109,"'","''")&amp;"'"&amp;", "&amp;IF($B109="","NULL","'"&amp;SUBSTITUTE($B109,"'","''")&amp;"'")&amp;" WHERE NOT EXISTS (SELECT 1 FROM Categorias WHERE NomeCategoria = "&amp;"'"&amp;SUBSTITUTE($A109,"'","''")&amp;"'"&amp;");")</f>
        <v/>
      </c>
    </row>
    <row r="110" customFormat="false" ht="15" hidden="false" customHeight="false" outlineLevel="0" collapsed="false">
      <c r="A110" s="26"/>
      <c r="B110" s="26"/>
      <c r="D110" s="25" t="str">
        <f aca="false">IF($A110="","","INSERT INTO Categorias (NomeCategoria, DescricaoCategoria) SELECT "&amp;"'"&amp;SUBSTITUTE($A110,"'","''")&amp;"'"&amp;", "&amp;IF($B110="","NULL","'"&amp;SUBSTITUTE($B110,"'","''")&amp;"'")&amp;" WHERE NOT EXISTS (SELECT 1 FROM Categorias WHERE NomeCategoria = "&amp;"'"&amp;SUBSTITUTE($A110,"'","''")&amp;"'"&amp;");")</f>
        <v/>
      </c>
    </row>
    <row r="111" customFormat="false" ht="15" hidden="false" customHeight="false" outlineLevel="0" collapsed="false">
      <c r="A111" s="26"/>
      <c r="B111" s="26"/>
      <c r="D111" s="25" t="str">
        <f aca="false">IF($A111="","","INSERT INTO Categorias (NomeCategoria, DescricaoCategoria) SELECT "&amp;"'"&amp;SUBSTITUTE($A111,"'","''")&amp;"'"&amp;", "&amp;IF($B111="","NULL","'"&amp;SUBSTITUTE($B111,"'","''")&amp;"'")&amp;" WHERE NOT EXISTS (SELECT 1 FROM Categorias WHERE NomeCategoria = "&amp;"'"&amp;SUBSTITUTE($A111,"'","''")&amp;"'"&amp;");")</f>
        <v/>
      </c>
    </row>
    <row r="112" customFormat="false" ht="15" hidden="false" customHeight="false" outlineLevel="0" collapsed="false">
      <c r="A112" s="26"/>
      <c r="B112" s="26"/>
      <c r="D112" s="25" t="str">
        <f aca="false">IF($A112="","","INSERT INTO Categorias (NomeCategoria, DescricaoCategoria) SELECT "&amp;"'"&amp;SUBSTITUTE($A112,"'","''")&amp;"'"&amp;", "&amp;IF($B112="","NULL","'"&amp;SUBSTITUTE($B112,"'","''")&amp;"'")&amp;" WHERE NOT EXISTS (SELECT 1 FROM Categorias WHERE NomeCategoria = "&amp;"'"&amp;SUBSTITUTE($A112,"'","''")&amp;"'"&amp;");")</f>
        <v/>
      </c>
    </row>
    <row r="113" customFormat="false" ht="15" hidden="false" customHeight="false" outlineLevel="0" collapsed="false">
      <c r="A113" s="26"/>
      <c r="B113" s="26"/>
      <c r="D113" s="25" t="str">
        <f aca="false">IF($A113="","","INSERT INTO Categorias (NomeCategoria, DescricaoCategoria) SELECT "&amp;"'"&amp;SUBSTITUTE($A113,"'","''")&amp;"'"&amp;", "&amp;IF($B113="","NULL","'"&amp;SUBSTITUTE($B113,"'","''")&amp;"'")&amp;" WHERE NOT EXISTS (SELECT 1 FROM Categorias WHERE NomeCategoria = "&amp;"'"&amp;SUBSTITUTE($A113,"'","''")&amp;"'"&amp;");")</f>
        <v/>
      </c>
    </row>
    <row r="114" customFormat="false" ht="15" hidden="false" customHeight="false" outlineLevel="0" collapsed="false">
      <c r="A114" s="26"/>
      <c r="B114" s="26"/>
      <c r="D114" s="25" t="str">
        <f aca="false">IF($A114="","","INSERT INTO Categorias (NomeCategoria, DescricaoCategoria) SELECT "&amp;"'"&amp;SUBSTITUTE($A114,"'","''")&amp;"'"&amp;", "&amp;IF($B114="","NULL","'"&amp;SUBSTITUTE($B114,"'","''")&amp;"'")&amp;" WHERE NOT EXISTS (SELECT 1 FROM Categorias WHERE NomeCategoria = "&amp;"'"&amp;SUBSTITUTE($A114,"'","''")&amp;"'"&amp;");")</f>
        <v/>
      </c>
    </row>
    <row r="115" customFormat="false" ht="15" hidden="false" customHeight="false" outlineLevel="0" collapsed="false">
      <c r="A115" s="26"/>
      <c r="B115" s="26"/>
      <c r="D115" s="25" t="str">
        <f aca="false">IF($A115="","","INSERT INTO Categorias (NomeCategoria, DescricaoCategoria) SELECT "&amp;"'"&amp;SUBSTITUTE($A115,"'","''")&amp;"'"&amp;", "&amp;IF($B115="","NULL","'"&amp;SUBSTITUTE($B115,"'","''")&amp;"'")&amp;" WHERE NOT EXISTS (SELECT 1 FROM Categorias WHERE NomeCategoria = "&amp;"'"&amp;SUBSTITUTE($A115,"'","''")&amp;"'"&amp;");")</f>
        <v/>
      </c>
    </row>
    <row r="116" customFormat="false" ht="15" hidden="false" customHeight="false" outlineLevel="0" collapsed="false">
      <c r="A116" s="26"/>
      <c r="B116" s="26"/>
      <c r="D116" s="25" t="str">
        <f aca="false">IF($A116="","","INSERT INTO Categorias (NomeCategoria, DescricaoCategoria) SELECT "&amp;"'"&amp;SUBSTITUTE($A116,"'","''")&amp;"'"&amp;", "&amp;IF($B116="","NULL","'"&amp;SUBSTITUTE($B116,"'","''")&amp;"'")&amp;" WHERE NOT EXISTS (SELECT 1 FROM Categorias WHERE NomeCategoria = "&amp;"'"&amp;SUBSTITUTE($A116,"'","''")&amp;"'"&amp;");")</f>
        <v/>
      </c>
    </row>
    <row r="117" customFormat="false" ht="15" hidden="false" customHeight="false" outlineLevel="0" collapsed="false">
      <c r="A117" s="26"/>
      <c r="B117" s="26"/>
      <c r="D117" s="25" t="str">
        <f aca="false">IF($A117="","","INSERT INTO Categorias (NomeCategoria, DescricaoCategoria) SELECT "&amp;"'"&amp;SUBSTITUTE($A117,"'","''")&amp;"'"&amp;", "&amp;IF($B117="","NULL","'"&amp;SUBSTITUTE($B117,"'","''")&amp;"'")&amp;" WHERE NOT EXISTS (SELECT 1 FROM Categorias WHERE NomeCategoria = "&amp;"'"&amp;SUBSTITUTE($A117,"'","''")&amp;"'"&amp;");")</f>
        <v/>
      </c>
    </row>
    <row r="118" customFormat="false" ht="15" hidden="false" customHeight="false" outlineLevel="0" collapsed="false">
      <c r="A118" s="26"/>
      <c r="B118" s="26"/>
      <c r="D118" s="25" t="str">
        <f aca="false">IF($A118="","","INSERT INTO Categorias (NomeCategoria, DescricaoCategoria) SELECT "&amp;"'"&amp;SUBSTITUTE($A118,"'","''")&amp;"'"&amp;", "&amp;IF($B118="","NULL","'"&amp;SUBSTITUTE($B118,"'","''")&amp;"'")&amp;" WHERE NOT EXISTS (SELECT 1 FROM Categorias WHERE NomeCategoria = "&amp;"'"&amp;SUBSTITUTE($A118,"'","''")&amp;"'"&amp;");")</f>
        <v/>
      </c>
    </row>
    <row r="119" customFormat="false" ht="15" hidden="false" customHeight="false" outlineLevel="0" collapsed="false">
      <c r="A119" s="26"/>
      <c r="B119" s="26"/>
      <c r="D119" s="25" t="str">
        <f aca="false">IF($A119="","","INSERT INTO Categorias (NomeCategoria, DescricaoCategoria) SELECT "&amp;"'"&amp;SUBSTITUTE($A119,"'","''")&amp;"'"&amp;", "&amp;IF($B119="","NULL","'"&amp;SUBSTITUTE($B119,"'","''")&amp;"'")&amp;" WHERE NOT EXISTS (SELECT 1 FROM Categorias WHERE NomeCategoria = "&amp;"'"&amp;SUBSTITUTE($A119,"'","''")&amp;"'"&amp;");")</f>
        <v/>
      </c>
    </row>
    <row r="120" customFormat="false" ht="15" hidden="false" customHeight="false" outlineLevel="0" collapsed="false">
      <c r="A120" s="26"/>
      <c r="B120" s="26"/>
      <c r="D120" s="25" t="str">
        <f aca="false">IF($A120="","","INSERT INTO Categorias (NomeCategoria, DescricaoCategoria) SELECT "&amp;"'"&amp;SUBSTITUTE($A120,"'","''")&amp;"'"&amp;", "&amp;IF($B120="","NULL","'"&amp;SUBSTITUTE($B120,"'","''")&amp;"'")&amp;" WHERE NOT EXISTS (SELECT 1 FROM Categorias WHERE NomeCategoria = "&amp;"'"&amp;SUBSTITUTE($A120,"'","''")&amp;"'"&amp;");")</f>
        <v/>
      </c>
    </row>
    <row r="121" customFormat="false" ht="15" hidden="false" customHeight="false" outlineLevel="0" collapsed="false">
      <c r="A121" s="26"/>
      <c r="B121" s="26"/>
      <c r="D121" s="25" t="str">
        <f aca="false">IF($A121="","","INSERT INTO Categorias (NomeCategoria, DescricaoCategoria) SELECT "&amp;"'"&amp;SUBSTITUTE($A121,"'","''")&amp;"'"&amp;", "&amp;IF($B121="","NULL","'"&amp;SUBSTITUTE($B121,"'","''")&amp;"'")&amp;" WHERE NOT EXISTS (SELECT 1 FROM Categorias WHERE NomeCategoria = "&amp;"'"&amp;SUBSTITUTE($A121,"'","''")&amp;"'"&amp;");")</f>
        <v/>
      </c>
    </row>
    <row r="122" customFormat="false" ht="15" hidden="false" customHeight="false" outlineLevel="0" collapsed="false">
      <c r="A122" s="26"/>
      <c r="B122" s="26"/>
      <c r="D122" s="25" t="str">
        <f aca="false">IF($A122="","","INSERT INTO Categorias (NomeCategoria, DescricaoCategoria) SELECT "&amp;"'"&amp;SUBSTITUTE($A122,"'","''")&amp;"'"&amp;", "&amp;IF($B122="","NULL","'"&amp;SUBSTITUTE($B122,"'","''")&amp;"'")&amp;" WHERE NOT EXISTS (SELECT 1 FROM Categorias WHERE NomeCategoria = "&amp;"'"&amp;SUBSTITUTE($A122,"'","''")&amp;"'"&amp;");")</f>
        <v/>
      </c>
    </row>
    <row r="123" customFormat="false" ht="15" hidden="false" customHeight="false" outlineLevel="0" collapsed="false">
      <c r="A123" s="26"/>
      <c r="B123" s="26"/>
      <c r="D123" s="25" t="str">
        <f aca="false">IF($A123="","","INSERT INTO Categorias (NomeCategoria, DescricaoCategoria) SELECT "&amp;"'"&amp;SUBSTITUTE($A123,"'","''")&amp;"'"&amp;", "&amp;IF($B123="","NULL","'"&amp;SUBSTITUTE($B123,"'","''")&amp;"'")&amp;" WHERE NOT EXISTS (SELECT 1 FROM Categorias WHERE NomeCategoria = "&amp;"'"&amp;SUBSTITUTE($A123,"'","''")&amp;"'"&amp;");")</f>
        <v/>
      </c>
    </row>
    <row r="124" customFormat="false" ht="15" hidden="false" customHeight="false" outlineLevel="0" collapsed="false">
      <c r="A124" s="26"/>
      <c r="B124" s="26"/>
      <c r="D124" s="25" t="str">
        <f aca="false">IF($A124="","","INSERT INTO Categorias (NomeCategoria, DescricaoCategoria) SELECT "&amp;"'"&amp;SUBSTITUTE($A124,"'","''")&amp;"'"&amp;", "&amp;IF($B124="","NULL","'"&amp;SUBSTITUTE($B124,"'","''")&amp;"'")&amp;" WHERE NOT EXISTS (SELECT 1 FROM Categorias WHERE NomeCategoria = "&amp;"'"&amp;SUBSTITUTE($A124,"'","''")&amp;"'"&amp;");")</f>
        <v/>
      </c>
    </row>
    <row r="125" customFormat="false" ht="15" hidden="false" customHeight="false" outlineLevel="0" collapsed="false">
      <c r="A125" s="26"/>
      <c r="B125" s="26"/>
      <c r="D125" s="25" t="str">
        <f aca="false">IF($A125="","","INSERT INTO Categorias (NomeCategoria, DescricaoCategoria) SELECT "&amp;"'"&amp;SUBSTITUTE($A125,"'","''")&amp;"'"&amp;", "&amp;IF($B125="","NULL","'"&amp;SUBSTITUTE($B125,"'","''")&amp;"'")&amp;" WHERE NOT EXISTS (SELECT 1 FROM Categorias WHERE NomeCategoria = "&amp;"'"&amp;SUBSTITUTE($A125,"'","''")&amp;"'"&amp;");")</f>
        <v/>
      </c>
    </row>
    <row r="126" customFormat="false" ht="15" hidden="false" customHeight="false" outlineLevel="0" collapsed="false">
      <c r="A126" s="26"/>
      <c r="B126" s="26"/>
      <c r="D126" s="25" t="str">
        <f aca="false">IF($A126="","","INSERT INTO Categorias (NomeCategoria, DescricaoCategoria) SELECT "&amp;"'"&amp;SUBSTITUTE($A126,"'","''")&amp;"'"&amp;", "&amp;IF($B126="","NULL","'"&amp;SUBSTITUTE($B126,"'","''")&amp;"'")&amp;" WHERE NOT EXISTS (SELECT 1 FROM Categorias WHERE NomeCategoria = "&amp;"'"&amp;SUBSTITUTE($A126,"'","''")&amp;"'"&amp;");")</f>
        <v/>
      </c>
    </row>
    <row r="127" customFormat="false" ht="15" hidden="false" customHeight="false" outlineLevel="0" collapsed="false">
      <c r="A127" s="26"/>
      <c r="B127" s="26"/>
      <c r="D127" s="25" t="str">
        <f aca="false">IF($A127="","","INSERT INTO Categorias (NomeCategoria, DescricaoCategoria) SELECT "&amp;"'"&amp;SUBSTITUTE($A127,"'","''")&amp;"'"&amp;", "&amp;IF($B127="","NULL","'"&amp;SUBSTITUTE($B127,"'","''")&amp;"'")&amp;" WHERE NOT EXISTS (SELECT 1 FROM Categorias WHERE NomeCategoria = "&amp;"'"&amp;SUBSTITUTE($A127,"'","''")&amp;"'"&amp;");")</f>
        <v/>
      </c>
    </row>
    <row r="128" customFormat="false" ht="15" hidden="false" customHeight="false" outlineLevel="0" collapsed="false">
      <c r="A128" s="26"/>
      <c r="B128" s="26"/>
      <c r="D128" s="25" t="str">
        <f aca="false">IF($A128="","","INSERT INTO Categorias (NomeCategoria, DescricaoCategoria) SELECT "&amp;"'"&amp;SUBSTITUTE($A128,"'","''")&amp;"'"&amp;", "&amp;IF($B128="","NULL","'"&amp;SUBSTITUTE($B128,"'","''")&amp;"'")&amp;" WHERE NOT EXISTS (SELECT 1 FROM Categorias WHERE NomeCategoria = "&amp;"'"&amp;SUBSTITUTE($A128,"'","''")&amp;"'"&amp;");")</f>
        <v/>
      </c>
    </row>
    <row r="129" customFormat="false" ht="15" hidden="false" customHeight="false" outlineLevel="0" collapsed="false">
      <c r="A129" s="26"/>
      <c r="B129" s="26"/>
      <c r="D129" s="25" t="str">
        <f aca="false">IF($A129="","","INSERT INTO Categorias (NomeCategoria, DescricaoCategoria) SELECT "&amp;"'"&amp;SUBSTITUTE($A129,"'","''")&amp;"'"&amp;", "&amp;IF($B129="","NULL","'"&amp;SUBSTITUTE($B129,"'","''")&amp;"'")&amp;" WHERE NOT EXISTS (SELECT 1 FROM Categorias WHERE NomeCategoria = "&amp;"'"&amp;SUBSTITUTE($A129,"'","''")&amp;"'"&amp;");")</f>
        <v/>
      </c>
    </row>
    <row r="130" customFormat="false" ht="15" hidden="false" customHeight="false" outlineLevel="0" collapsed="false">
      <c r="A130" s="26"/>
      <c r="B130" s="26"/>
      <c r="D130" s="25" t="str">
        <f aca="false">IF($A130="","","INSERT INTO Categorias (NomeCategoria, DescricaoCategoria) SELECT "&amp;"'"&amp;SUBSTITUTE($A130,"'","''")&amp;"'"&amp;", "&amp;IF($B130="","NULL","'"&amp;SUBSTITUTE($B130,"'","''")&amp;"'")&amp;" WHERE NOT EXISTS (SELECT 1 FROM Categorias WHERE NomeCategoria = "&amp;"'"&amp;SUBSTITUTE($A130,"'","''")&amp;"'"&amp;");")</f>
        <v/>
      </c>
    </row>
    <row r="131" customFormat="false" ht="15" hidden="false" customHeight="false" outlineLevel="0" collapsed="false">
      <c r="A131" s="26"/>
      <c r="B131" s="26"/>
      <c r="D131" s="25" t="str">
        <f aca="false">IF($A131="","","INSERT INTO Categorias (NomeCategoria, DescricaoCategoria) SELECT "&amp;"'"&amp;SUBSTITUTE($A131,"'","''")&amp;"'"&amp;", "&amp;IF($B131="","NULL","'"&amp;SUBSTITUTE($B131,"'","''")&amp;"'")&amp;" WHERE NOT EXISTS (SELECT 1 FROM Categorias WHERE NomeCategoria = "&amp;"'"&amp;SUBSTITUTE($A131,"'","''")&amp;"'"&amp;");")</f>
        <v/>
      </c>
    </row>
    <row r="132" customFormat="false" ht="15" hidden="false" customHeight="false" outlineLevel="0" collapsed="false">
      <c r="A132" s="26"/>
      <c r="B132" s="26"/>
      <c r="D132" s="25" t="str">
        <f aca="false">IF($A132="","","INSERT INTO Categorias (NomeCategoria, DescricaoCategoria) SELECT "&amp;"'"&amp;SUBSTITUTE($A132,"'","''")&amp;"'"&amp;", "&amp;IF($B132="","NULL","'"&amp;SUBSTITUTE($B132,"'","''")&amp;"'")&amp;" WHERE NOT EXISTS (SELECT 1 FROM Categorias WHERE NomeCategoria = "&amp;"'"&amp;SUBSTITUTE($A132,"'","''")&amp;"'"&amp;");")</f>
        <v/>
      </c>
    </row>
    <row r="133" customFormat="false" ht="15" hidden="false" customHeight="false" outlineLevel="0" collapsed="false">
      <c r="A133" s="26"/>
      <c r="B133" s="26"/>
      <c r="D133" s="25" t="str">
        <f aca="false">IF($A133="","","INSERT INTO Categorias (NomeCategoria, DescricaoCategoria) SELECT "&amp;"'"&amp;SUBSTITUTE($A133,"'","''")&amp;"'"&amp;", "&amp;IF($B133="","NULL","'"&amp;SUBSTITUTE($B133,"'","''")&amp;"'")&amp;" WHERE NOT EXISTS (SELECT 1 FROM Categorias WHERE NomeCategoria = "&amp;"'"&amp;SUBSTITUTE($A133,"'","''")&amp;"'"&amp;");")</f>
        <v/>
      </c>
    </row>
    <row r="134" customFormat="false" ht="15" hidden="false" customHeight="false" outlineLevel="0" collapsed="false">
      <c r="A134" s="26"/>
      <c r="B134" s="26"/>
      <c r="D134" s="25" t="str">
        <f aca="false">IF($A134="","","INSERT INTO Categorias (NomeCategoria, DescricaoCategoria) SELECT "&amp;"'"&amp;SUBSTITUTE($A134,"'","''")&amp;"'"&amp;", "&amp;IF($B134="","NULL","'"&amp;SUBSTITUTE($B134,"'","''")&amp;"'")&amp;" WHERE NOT EXISTS (SELECT 1 FROM Categorias WHERE NomeCategoria = "&amp;"'"&amp;SUBSTITUTE($A134,"'","''")&amp;"'"&amp;");")</f>
        <v/>
      </c>
    </row>
    <row r="135" customFormat="false" ht="15" hidden="false" customHeight="false" outlineLevel="0" collapsed="false">
      <c r="A135" s="26"/>
      <c r="B135" s="26"/>
      <c r="D135" s="25" t="str">
        <f aca="false">IF($A135="","","INSERT INTO Categorias (NomeCategoria, DescricaoCategoria) SELECT "&amp;"'"&amp;SUBSTITUTE($A135,"'","''")&amp;"'"&amp;", "&amp;IF($B135="","NULL","'"&amp;SUBSTITUTE($B135,"'","''")&amp;"'")&amp;" WHERE NOT EXISTS (SELECT 1 FROM Categorias WHERE NomeCategoria = "&amp;"'"&amp;SUBSTITUTE($A135,"'","''")&amp;"'"&amp;");")</f>
        <v/>
      </c>
    </row>
    <row r="136" customFormat="false" ht="15" hidden="false" customHeight="false" outlineLevel="0" collapsed="false">
      <c r="A136" s="26"/>
      <c r="B136" s="26"/>
      <c r="D136" s="25" t="str">
        <f aca="false">IF($A136="","","INSERT INTO Categorias (NomeCategoria, DescricaoCategoria) SELECT "&amp;"'"&amp;SUBSTITUTE($A136,"'","''")&amp;"'"&amp;", "&amp;IF($B136="","NULL","'"&amp;SUBSTITUTE($B136,"'","''")&amp;"'")&amp;" WHERE NOT EXISTS (SELECT 1 FROM Categorias WHERE NomeCategoria = "&amp;"'"&amp;SUBSTITUTE($A136,"'","''")&amp;"'"&amp;");")</f>
        <v/>
      </c>
    </row>
    <row r="137" customFormat="false" ht="15" hidden="false" customHeight="false" outlineLevel="0" collapsed="false">
      <c r="A137" s="26"/>
      <c r="B137" s="26"/>
      <c r="D137" s="25" t="str">
        <f aca="false">IF($A137="","","INSERT INTO Categorias (NomeCategoria, DescricaoCategoria) SELECT "&amp;"'"&amp;SUBSTITUTE($A137,"'","''")&amp;"'"&amp;", "&amp;IF($B137="","NULL","'"&amp;SUBSTITUTE($B137,"'","''")&amp;"'")&amp;" WHERE NOT EXISTS (SELECT 1 FROM Categorias WHERE NomeCategoria = "&amp;"'"&amp;SUBSTITUTE($A137,"'","''")&amp;"'"&amp;");")</f>
        <v/>
      </c>
    </row>
    <row r="138" customFormat="false" ht="15" hidden="false" customHeight="false" outlineLevel="0" collapsed="false">
      <c r="A138" s="26"/>
      <c r="B138" s="26"/>
      <c r="D138" s="25" t="str">
        <f aca="false">IF($A138="","","INSERT INTO Categorias (NomeCategoria, DescricaoCategoria) SELECT "&amp;"'"&amp;SUBSTITUTE($A138,"'","''")&amp;"'"&amp;", "&amp;IF($B138="","NULL","'"&amp;SUBSTITUTE($B138,"'","''")&amp;"'")&amp;" WHERE NOT EXISTS (SELECT 1 FROM Categorias WHERE NomeCategoria = "&amp;"'"&amp;SUBSTITUTE($A138,"'","''")&amp;"'"&amp;");")</f>
        <v/>
      </c>
    </row>
    <row r="139" customFormat="false" ht="15" hidden="false" customHeight="false" outlineLevel="0" collapsed="false">
      <c r="A139" s="26"/>
      <c r="B139" s="26"/>
      <c r="D139" s="25" t="str">
        <f aca="false">IF($A139="","","INSERT INTO Categorias (NomeCategoria, DescricaoCategoria) SELECT "&amp;"'"&amp;SUBSTITUTE($A139,"'","''")&amp;"'"&amp;", "&amp;IF($B139="","NULL","'"&amp;SUBSTITUTE($B139,"'","''")&amp;"'")&amp;" WHERE NOT EXISTS (SELECT 1 FROM Categorias WHERE NomeCategoria = "&amp;"'"&amp;SUBSTITUTE($A139,"'","''")&amp;"'"&amp;");")</f>
        <v/>
      </c>
    </row>
    <row r="140" customFormat="false" ht="15" hidden="false" customHeight="false" outlineLevel="0" collapsed="false">
      <c r="A140" s="26"/>
      <c r="B140" s="26"/>
      <c r="D140" s="25" t="str">
        <f aca="false">IF($A140="","","INSERT INTO Categorias (NomeCategoria, DescricaoCategoria) SELECT "&amp;"'"&amp;SUBSTITUTE($A140,"'","''")&amp;"'"&amp;", "&amp;IF($B140="","NULL","'"&amp;SUBSTITUTE($B140,"'","''")&amp;"'")&amp;" WHERE NOT EXISTS (SELECT 1 FROM Categorias WHERE NomeCategoria = "&amp;"'"&amp;SUBSTITUTE($A140,"'","''")&amp;"'"&amp;");")</f>
        <v/>
      </c>
    </row>
    <row r="141" customFormat="false" ht="15" hidden="false" customHeight="false" outlineLevel="0" collapsed="false">
      <c r="A141" s="26"/>
      <c r="B141" s="26"/>
      <c r="D141" s="25" t="str">
        <f aca="false">IF($A141="","","INSERT INTO Categorias (NomeCategoria, DescricaoCategoria) SELECT "&amp;"'"&amp;SUBSTITUTE($A141,"'","''")&amp;"'"&amp;", "&amp;IF($B141="","NULL","'"&amp;SUBSTITUTE($B141,"'","''")&amp;"'")&amp;" WHERE NOT EXISTS (SELECT 1 FROM Categorias WHERE NomeCategoria = "&amp;"'"&amp;SUBSTITUTE($A141,"'","''")&amp;"'"&amp;");")</f>
        <v/>
      </c>
    </row>
    <row r="142" customFormat="false" ht="15" hidden="false" customHeight="false" outlineLevel="0" collapsed="false">
      <c r="A142" s="26"/>
      <c r="B142" s="26"/>
      <c r="D142" s="25" t="str">
        <f aca="false">IF($A142="","","INSERT INTO Categorias (NomeCategoria, DescricaoCategoria) SELECT "&amp;"'"&amp;SUBSTITUTE($A142,"'","''")&amp;"'"&amp;", "&amp;IF($B142="","NULL","'"&amp;SUBSTITUTE($B142,"'","''")&amp;"'")&amp;" WHERE NOT EXISTS (SELECT 1 FROM Categorias WHERE NomeCategoria = "&amp;"'"&amp;SUBSTITUTE($A142,"'","''")&amp;"'"&amp;");")</f>
        <v/>
      </c>
    </row>
    <row r="143" customFormat="false" ht="15" hidden="false" customHeight="false" outlineLevel="0" collapsed="false">
      <c r="A143" s="26"/>
      <c r="B143" s="26"/>
      <c r="D143" s="25" t="str">
        <f aca="false">IF($A143="","","INSERT INTO Categorias (NomeCategoria, DescricaoCategoria) SELECT "&amp;"'"&amp;SUBSTITUTE($A143,"'","''")&amp;"'"&amp;", "&amp;IF($B143="","NULL","'"&amp;SUBSTITUTE($B143,"'","''")&amp;"'")&amp;" WHERE NOT EXISTS (SELECT 1 FROM Categorias WHERE NomeCategoria = "&amp;"'"&amp;SUBSTITUTE($A143,"'","''")&amp;"'"&amp;");")</f>
        <v/>
      </c>
    </row>
    <row r="144" customFormat="false" ht="15" hidden="false" customHeight="false" outlineLevel="0" collapsed="false">
      <c r="A144" s="26"/>
      <c r="B144" s="26"/>
      <c r="D144" s="25" t="str">
        <f aca="false">IF($A144="","","INSERT INTO Categorias (NomeCategoria, DescricaoCategoria) SELECT "&amp;"'"&amp;SUBSTITUTE($A144,"'","''")&amp;"'"&amp;", "&amp;IF($B144="","NULL","'"&amp;SUBSTITUTE($B144,"'","''")&amp;"'")&amp;" WHERE NOT EXISTS (SELECT 1 FROM Categorias WHERE NomeCategoria = "&amp;"'"&amp;SUBSTITUTE($A144,"'","''")&amp;"'"&amp;");")</f>
        <v/>
      </c>
    </row>
    <row r="145" customFormat="false" ht="15" hidden="false" customHeight="false" outlineLevel="0" collapsed="false">
      <c r="A145" s="26"/>
      <c r="B145" s="26"/>
      <c r="D145" s="25" t="str">
        <f aca="false">IF($A145="","","INSERT INTO Categorias (NomeCategoria, DescricaoCategoria) SELECT "&amp;"'"&amp;SUBSTITUTE($A145,"'","''")&amp;"'"&amp;", "&amp;IF($B145="","NULL","'"&amp;SUBSTITUTE($B145,"'","''")&amp;"'")&amp;" WHERE NOT EXISTS (SELECT 1 FROM Categorias WHERE NomeCategoria = "&amp;"'"&amp;SUBSTITUTE($A145,"'","''")&amp;"'"&amp;");")</f>
        <v/>
      </c>
    </row>
    <row r="146" customFormat="false" ht="15" hidden="false" customHeight="false" outlineLevel="0" collapsed="false">
      <c r="A146" s="26"/>
      <c r="B146" s="26"/>
      <c r="D146" s="25" t="str">
        <f aca="false">IF($A146="","","INSERT INTO Categorias (NomeCategoria, DescricaoCategoria) SELECT "&amp;"'"&amp;SUBSTITUTE($A146,"'","''")&amp;"'"&amp;", "&amp;IF($B146="","NULL","'"&amp;SUBSTITUTE($B146,"'","''")&amp;"'")&amp;" WHERE NOT EXISTS (SELECT 1 FROM Categorias WHERE NomeCategoria = "&amp;"'"&amp;SUBSTITUTE($A146,"'","''")&amp;"'"&amp;");")</f>
        <v/>
      </c>
    </row>
    <row r="147" customFormat="false" ht="15" hidden="false" customHeight="false" outlineLevel="0" collapsed="false">
      <c r="A147" s="26"/>
      <c r="B147" s="26"/>
      <c r="D147" s="25" t="str">
        <f aca="false">IF($A147="","","INSERT INTO Categorias (NomeCategoria, DescricaoCategoria) SELECT "&amp;"'"&amp;SUBSTITUTE($A147,"'","''")&amp;"'"&amp;", "&amp;IF($B147="","NULL","'"&amp;SUBSTITUTE($B147,"'","''")&amp;"'")&amp;" WHERE NOT EXISTS (SELECT 1 FROM Categorias WHERE NomeCategoria = "&amp;"'"&amp;SUBSTITUTE($A147,"'","''")&amp;"'"&amp;");")</f>
        <v/>
      </c>
    </row>
    <row r="148" customFormat="false" ht="15" hidden="false" customHeight="false" outlineLevel="0" collapsed="false">
      <c r="A148" s="26"/>
      <c r="B148" s="26"/>
      <c r="D148" s="25" t="str">
        <f aca="false">IF($A148="","","INSERT INTO Categorias (NomeCategoria, DescricaoCategoria) SELECT "&amp;"'"&amp;SUBSTITUTE($A148,"'","''")&amp;"'"&amp;", "&amp;IF($B148="","NULL","'"&amp;SUBSTITUTE($B148,"'","''")&amp;"'")&amp;" WHERE NOT EXISTS (SELECT 1 FROM Categorias WHERE NomeCategoria = "&amp;"'"&amp;SUBSTITUTE($A148,"'","''")&amp;"'"&amp;");")</f>
        <v/>
      </c>
    </row>
    <row r="149" customFormat="false" ht="15" hidden="false" customHeight="false" outlineLevel="0" collapsed="false">
      <c r="A149" s="26"/>
      <c r="B149" s="26"/>
      <c r="D149" s="25" t="str">
        <f aca="false">IF($A149="","","INSERT INTO Categorias (NomeCategoria, DescricaoCategoria) SELECT "&amp;"'"&amp;SUBSTITUTE($A149,"'","''")&amp;"'"&amp;", "&amp;IF($B149="","NULL","'"&amp;SUBSTITUTE($B149,"'","''")&amp;"'")&amp;" WHERE NOT EXISTS (SELECT 1 FROM Categorias WHERE NomeCategoria = "&amp;"'"&amp;SUBSTITUTE($A149,"'","''")&amp;"'"&amp;");")</f>
        <v/>
      </c>
    </row>
    <row r="150" customFormat="false" ht="15" hidden="false" customHeight="false" outlineLevel="0" collapsed="false">
      <c r="A150" s="26"/>
      <c r="B150" s="26"/>
      <c r="D150" s="25" t="str">
        <f aca="false">IF($A150="","","INSERT INTO Categorias (NomeCategoria, DescricaoCategoria) SELECT "&amp;"'"&amp;SUBSTITUTE($A150,"'","''")&amp;"'"&amp;", "&amp;IF($B150="","NULL","'"&amp;SUBSTITUTE($B150,"'","''")&amp;"'")&amp;" WHERE NOT EXISTS (SELECT 1 FROM Categorias WHERE NomeCategoria = "&amp;"'"&amp;SUBSTITUTE($A150,"'","''")&amp;"'"&amp;");")</f>
        <v/>
      </c>
    </row>
    <row r="151" customFormat="false" ht="15" hidden="false" customHeight="false" outlineLevel="0" collapsed="false">
      <c r="A151" s="26"/>
      <c r="B151" s="26"/>
      <c r="D151" s="25" t="str">
        <f aca="false">IF($A151="","","INSERT INTO Categorias (NomeCategoria, DescricaoCategoria) SELECT "&amp;"'"&amp;SUBSTITUTE($A151,"'","''")&amp;"'"&amp;", "&amp;IF($B151="","NULL","'"&amp;SUBSTITUTE($B151,"'","''")&amp;"'")&amp;" WHERE NOT EXISTS (SELECT 1 FROM Categorias WHERE NomeCategoria = "&amp;"'"&amp;SUBSTITUTE($A151,"'","''")&amp;"'"&amp;");")</f>
        <v/>
      </c>
    </row>
    <row r="152" customFormat="false" ht="15" hidden="false" customHeight="false" outlineLevel="0" collapsed="false">
      <c r="A152" s="26"/>
      <c r="B152" s="26"/>
      <c r="D152" s="25" t="str">
        <f aca="false">IF($A152="","","INSERT INTO Categorias (NomeCategoria, DescricaoCategoria) SELECT "&amp;"'"&amp;SUBSTITUTE($A152,"'","''")&amp;"'"&amp;", "&amp;IF($B152="","NULL","'"&amp;SUBSTITUTE($B152,"'","''")&amp;"'")&amp;" WHERE NOT EXISTS (SELECT 1 FROM Categorias WHERE NomeCategoria = "&amp;"'"&amp;SUBSTITUTE($A152,"'","''")&amp;"'"&amp;");")</f>
        <v/>
      </c>
    </row>
    <row r="153" customFormat="false" ht="15" hidden="false" customHeight="false" outlineLevel="0" collapsed="false">
      <c r="A153" s="26"/>
      <c r="B153" s="26"/>
      <c r="D153" s="25" t="str">
        <f aca="false">IF($A153="","","INSERT INTO Categorias (NomeCategoria, DescricaoCategoria) SELECT "&amp;"'"&amp;SUBSTITUTE($A153,"'","''")&amp;"'"&amp;", "&amp;IF($B153="","NULL","'"&amp;SUBSTITUTE($B153,"'","''")&amp;"'")&amp;" WHERE NOT EXISTS (SELECT 1 FROM Categorias WHERE NomeCategoria = "&amp;"'"&amp;SUBSTITUTE($A153,"'","''")&amp;"'"&amp;");")</f>
        <v/>
      </c>
    </row>
    <row r="154" customFormat="false" ht="15" hidden="false" customHeight="false" outlineLevel="0" collapsed="false">
      <c r="A154" s="26"/>
      <c r="B154" s="26"/>
      <c r="D154" s="25" t="str">
        <f aca="false">IF($A154="","","INSERT INTO Categorias (NomeCategoria, DescricaoCategoria) SELECT "&amp;"'"&amp;SUBSTITUTE($A154,"'","''")&amp;"'"&amp;", "&amp;IF($B154="","NULL","'"&amp;SUBSTITUTE($B154,"'","''")&amp;"'")&amp;" WHERE NOT EXISTS (SELECT 1 FROM Categorias WHERE NomeCategoria = "&amp;"'"&amp;SUBSTITUTE($A154,"'","''")&amp;"'"&amp;");")</f>
        <v/>
      </c>
    </row>
    <row r="155" customFormat="false" ht="15" hidden="false" customHeight="false" outlineLevel="0" collapsed="false">
      <c r="A155" s="26"/>
      <c r="B155" s="26"/>
      <c r="D155" s="25" t="str">
        <f aca="false">IF($A155="","","INSERT INTO Categorias (NomeCategoria, DescricaoCategoria) SELECT "&amp;"'"&amp;SUBSTITUTE($A155,"'","''")&amp;"'"&amp;", "&amp;IF($B155="","NULL","'"&amp;SUBSTITUTE($B155,"'","''")&amp;"'")&amp;" WHERE NOT EXISTS (SELECT 1 FROM Categorias WHERE NomeCategoria = "&amp;"'"&amp;SUBSTITUTE($A155,"'","''")&amp;"'"&amp;");")</f>
        <v/>
      </c>
    </row>
    <row r="156" customFormat="false" ht="15" hidden="false" customHeight="false" outlineLevel="0" collapsed="false">
      <c r="A156" s="26"/>
      <c r="B156" s="26"/>
      <c r="D156" s="25" t="str">
        <f aca="false">IF($A156="","","INSERT INTO Categorias (NomeCategoria, DescricaoCategoria) SELECT "&amp;"'"&amp;SUBSTITUTE($A156,"'","''")&amp;"'"&amp;", "&amp;IF($B156="","NULL","'"&amp;SUBSTITUTE($B156,"'","''")&amp;"'")&amp;" WHERE NOT EXISTS (SELECT 1 FROM Categorias WHERE NomeCategoria = "&amp;"'"&amp;SUBSTITUTE($A156,"'","''")&amp;"'"&amp;");")</f>
        <v/>
      </c>
    </row>
    <row r="157" customFormat="false" ht="15" hidden="false" customHeight="false" outlineLevel="0" collapsed="false">
      <c r="A157" s="26"/>
      <c r="B157" s="26"/>
      <c r="D157" s="25" t="str">
        <f aca="false">IF($A157="","","INSERT INTO Categorias (NomeCategoria, DescricaoCategoria) SELECT "&amp;"'"&amp;SUBSTITUTE($A157,"'","''")&amp;"'"&amp;", "&amp;IF($B157="","NULL","'"&amp;SUBSTITUTE($B157,"'","''")&amp;"'")&amp;" WHERE NOT EXISTS (SELECT 1 FROM Categorias WHERE NomeCategoria = "&amp;"'"&amp;SUBSTITUTE($A157,"'","''")&amp;"'"&amp;");")</f>
        <v/>
      </c>
    </row>
    <row r="158" customFormat="false" ht="15" hidden="false" customHeight="false" outlineLevel="0" collapsed="false">
      <c r="A158" s="26"/>
      <c r="B158" s="26"/>
      <c r="D158" s="25" t="str">
        <f aca="false">IF($A158="","","INSERT INTO Categorias (NomeCategoria, DescricaoCategoria) SELECT "&amp;"'"&amp;SUBSTITUTE($A158,"'","''")&amp;"'"&amp;", "&amp;IF($B158="","NULL","'"&amp;SUBSTITUTE($B158,"'","''")&amp;"'")&amp;" WHERE NOT EXISTS (SELECT 1 FROM Categorias WHERE NomeCategoria = "&amp;"'"&amp;SUBSTITUTE($A158,"'","''")&amp;"'"&amp;");")</f>
        <v/>
      </c>
    </row>
    <row r="159" customFormat="false" ht="15" hidden="false" customHeight="false" outlineLevel="0" collapsed="false">
      <c r="A159" s="26"/>
      <c r="B159" s="26"/>
      <c r="D159" s="25" t="str">
        <f aca="false">IF($A159="","","INSERT INTO Categorias (NomeCategoria, DescricaoCategoria) SELECT "&amp;"'"&amp;SUBSTITUTE($A159,"'","''")&amp;"'"&amp;", "&amp;IF($B159="","NULL","'"&amp;SUBSTITUTE($B159,"'","''")&amp;"'")&amp;" WHERE NOT EXISTS (SELECT 1 FROM Categorias WHERE NomeCategoria = "&amp;"'"&amp;SUBSTITUTE($A159,"'","''")&amp;"'"&amp;");")</f>
        <v/>
      </c>
    </row>
    <row r="160" customFormat="false" ht="15" hidden="false" customHeight="false" outlineLevel="0" collapsed="false">
      <c r="A160" s="26"/>
      <c r="B160" s="26"/>
      <c r="D160" s="25" t="str">
        <f aca="false">IF($A160="","","INSERT INTO Categorias (NomeCategoria, DescricaoCategoria) SELECT "&amp;"'"&amp;SUBSTITUTE($A160,"'","''")&amp;"'"&amp;", "&amp;IF($B160="","NULL","'"&amp;SUBSTITUTE($B160,"'","''")&amp;"'")&amp;" WHERE NOT EXISTS (SELECT 1 FROM Categorias WHERE NomeCategoria = "&amp;"'"&amp;SUBSTITUTE($A160,"'","''")&amp;"'"&amp;");")</f>
        <v/>
      </c>
    </row>
    <row r="161" customFormat="false" ht="15" hidden="false" customHeight="false" outlineLevel="0" collapsed="false">
      <c r="A161" s="26"/>
      <c r="B161" s="26"/>
      <c r="D161" s="25" t="str">
        <f aca="false">IF($A161="","","INSERT INTO Categorias (NomeCategoria, DescricaoCategoria) SELECT "&amp;"'"&amp;SUBSTITUTE($A161,"'","''")&amp;"'"&amp;", "&amp;IF($B161="","NULL","'"&amp;SUBSTITUTE($B161,"'","''")&amp;"'")&amp;" WHERE NOT EXISTS (SELECT 1 FROM Categorias WHERE NomeCategoria = "&amp;"'"&amp;SUBSTITUTE($A161,"'","''")&amp;"'"&amp;");")</f>
        <v/>
      </c>
    </row>
    <row r="162" customFormat="false" ht="15" hidden="false" customHeight="false" outlineLevel="0" collapsed="false">
      <c r="A162" s="26"/>
      <c r="B162" s="26"/>
      <c r="D162" s="25" t="str">
        <f aca="false">IF($A162="","","INSERT INTO Categorias (NomeCategoria, DescricaoCategoria) SELECT "&amp;"'"&amp;SUBSTITUTE($A162,"'","''")&amp;"'"&amp;", "&amp;IF($B162="","NULL","'"&amp;SUBSTITUTE($B162,"'","''")&amp;"'")&amp;" WHERE NOT EXISTS (SELECT 1 FROM Categorias WHERE NomeCategoria = "&amp;"'"&amp;SUBSTITUTE($A162,"'","''")&amp;"'"&amp;");")</f>
        <v/>
      </c>
    </row>
    <row r="163" customFormat="false" ht="15" hidden="false" customHeight="false" outlineLevel="0" collapsed="false">
      <c r="A163" s="26"/>
      <c r="B163" s="26"/>
      <c r="D163" s="25" t="str">
        <f aca="false">IF($A163="","","INSERT INTO Categorias (NomeCategoria, DescricaoCategoria) SELECT "&amp;"'"&amp;SUBSTITUTE($A163,"'","''")&amp;"'"&amp;", "&amp;IF($B163="","NULL","'"&amp;SUBSTITUTE($B163,"'","''")&amp;"'")&amp;" WHERE NOT EXISTS (SELECT 1 FROM Categorias WHERE NomeCategoria = "&amp;"'"&amp;SUBSTITUTE($A163,"'","''")&amp;"'"&amp;");")</f>
        <v/>
      </c>
    </row>
    <row r="164" customFormat="false" ht="15" hidden="false" customHeight="false" outlineLevel="0" collapsed="false">
      <c r="A164" s="26"/>
      <c r="B164" s="26"/>
      <c r="D164" s="25" t="str">
        <f aca="false">IF($A164="","","INSERT INTO Categorias (NomeCategoria, DescricaoCategoria) SELECT "&amp;"'"&amp;SUBSTITUTE($A164,"'","''")&amp;"'"&amp;", "&amp;IF($B164="","NULL","'"&amp;SUBSTITUTE($B164,"'","''")&amp;"'")&amp;" WHERE NOT EXISTS (SELECT 1 FROM Categorias WHERE NomeCategoria = "&amp;"'"&amp;SUBSTITUTE($A164,"'","''")&amp;"'"&amp;");")</f>
        <v/>
      </c>
    </row>
    <row r="165" customFormat="false" ht="15" hidden="false" customHeight="false" outlineLevel="0" collapsed="false">
      <c r="A165" s="26"/>
      <c r="B165" s="26"/>
      <c r="D165" s="25" t="str">
        <f aca="false">IF($A165="","","INSERT INTO Categorias (NomeCategoria, DescricaoCategoria) SELECT "&amp;"'"&amp;SUBSTITUTE($A165,"'","''")&amp;"'"&amp;", "&amp;IF($B165="","NULL","'"&amp;SUBSTITUTE($B165,"'","''")&amp;"'")&amp;" WHERE NOT EXISTS (SELECT 1 FROM Categorias WHERE NomeCategoria = "&amp;"'"&amp;SUBSTITUTE($A165,"'","''")&amp;"'"&amp;");")</f>
        <v/>
      </c>
    </row>
    <row r="166" customFormat="false" ht="15" hidden="false" customHeight="false" outlineLevel="0" collapsed="false">
      <c r="A166" s="26"/>
      <c r="B166" s="26"/>
      <c r="D166" s="25" t="str">
        <f aca="false">IF($A166="","","INSERT INTO Categorias (NomeCategoria, DescricaoCategoria) SELECT "&amp;"'"&amp;SUBSTITUTE($A166,"'","''")&amp;"'"&amp;", "&amp;IF($B166="","NULL","'"&amp;SUBSTITUTE($B166,"'","''")&amp;"'")&amp;" WHERE NOT EXISTS (SELECT 1 FROM Categorias WHERE NomeCategoria = "&amp;"'"&amp;SUBSTITUTE($A166,"'","''")&amp;"'"&amp;");")</f>
        <v/>
      </c>
    </row>
    <row r="167" customFormat="false" ht="15" hidden="false" customHeight="false" outlineLevel="0" collapsed="false">
      <c r="A167" s="26"/>
      <c r="B167" s="26"/>
      <c r="D167" s="25" t="str">
        <f aca="false">IF($A167="","","INSERT INTO Categorias (NomeCategoria, DescricaoCategoria) SELECT "&amp;"'"&amp;SUBSTITUTE($A167,"'","''")&amp;"'"&amp;", "&amp;IF($B167="","NULL","'"&amp;SUBSTITUTE($B167,"'","''")&amp;"'")&amp;" WHERE NOT EXISTS (SELECT 1 FROM Categorias WHERE NomeCategoria = "&amp;"'"&amp;SUBSTITUTE($A167,"'","''")&amp;"'"&amp;");")</f>
        <v/>
      </c>
    </row>
    <row r="168" customFormat="false" ht="15" hidden="false" customHeight="false" outlineLevel="0" collapsed="false">
      <c r="A168" s="26"/>
      <c r="B168" s="26"/>
      <c r="D168" s="25" t="str">
        <f aca="false">IF($A168="","","INSERT INTO Categorias (NomeCategoria, DescricaoCategoria) SELECT "&amp;"'"&amp;SUBSTITUTE($A168,"'","''")&amp;"'"&amp;", "&amp;IF($B168="","NULL","'"&amp;SUBSTITUTE($B168,"'","''")&amp;"'")&amp;" WHERE NOT EXISTS (SELECT 1 FROM Categorias WHERE NomeCategoria = "&amp;"'"&amp;SUBSTITUTE($A168,"'","''")&amp;"'"&amp;");")</f>
        <v/>
      </c>
    </row>
    <row r="169" customFormat="false" ht="15" hidden="false" customHeight="false" outlineLevel="0" collapsed="false">
      <c r="A169" s="26"/>
      <c r="B169" s="26"/>
      <c r="D169" s="25" t="str">
        <f aca="false">IF($A169="","","INSERT INTO Categorias (NomeCategoria, DescricaoCategoria) SELECT "&amp;"'"&amp;SUBSTITUTE($A169,"'","''")&amp;"'"&amp;", "&amp;IF($B169="","NULL","'"&amp;SUBSTITUTE($B169,"'","''")&amp;"'")&amp;" WHERE NOT EXISTS (SELECT 1 FROM Categorias WHERE NomeCategoria = "&amp;"'"&amp;SUBSTITUTE($A169,"'","''")&amp;"'"&amp;");")</f>
        <v/>
      </c>
    </row>
    <row r="170" customFormat="false" ht="15" hidden="false" customHeight="false" outlineLevel="0" collapsed="false">
      <c r="A170" s="26"/>
      <c r="B170" s="26"/>
      <c r="D170" s="25" t="str">
        <f aca="false">IF($A170="","","INSERT INTO Categorias (NomeCategoria, DescricaoCategoria) SELECT "&amp;"'"&amp;SUBSTITUTE($A170,"'","''")&amp;"'"&amp;", "&amp;IF($B170="","NULL","'"&amp;SUBSTITUTE($B170,"'","''")&amp;"'")&amp;" WHERE NOT EXISTS (SELECT 1 FROM Categorias WHERE NomeCategoria = "&amp;"'"&amp;SUBSTITUTE($A170,"'","''")&amp;"'"&amp;");")</f>
        <v/>
      </c>
    </row>
    <row r="171" customFormat="false" ht="15" hidden="false" customHeight="false" outlineLevel="0" collapsed="false">
      <c r="A171" s="26"/>
      <c r="B171" s="26"/>
      <c r="D171" s="25" t="str">
        <f aca="false">IF($A171="","","INSERT INTO Categorias (NomeCategoria, DescricaoCategoria) SELECT "&amp;"'"&amp;SUBSTITUTE($A171,"'","''")&amp;"'"&amp;", "&amp;IF($B171="","NULL","'"&amp;SUBSTITUTE($B171,"'","''")&amp;"'")&amp;" WHERE NOT EXISTS (SELECT 1 FROM Categorias WHERE NomeCategoria = "&amp;"'"&amp;SUBSTITUTE($A171,"'","''")&amp;"'"&amp;");")</f>
        <v/>
      </c>
    </row>
    <row r="172" customFormat="false" ht="15" hidden="false" customHeight="false" outlineLevel="0" collapsed="false">
      <c r="A172" s="26"/>
      <c r="B172" s="26"/>
      <c r="D172" s="25" t="str">
        <f aca="false">IF($A172="","","INSERT INTO Categorias (NomeCategoria, DescricaoCategoria) SELECT "&amp;"'"&amp;SUBSTITUTE($A172,"'","''")&amp;"'"&amp;", "&amp;IF($B172="","NULL","'"&amp;SUBSTITUTE($B172,"'","''")&amp;"'")&amp;" WHERE NOT EXISTS (SELECT 1 FROM Categorias WHERE NomeCategoria = "&amp;"'"&amp;SUBSTITUTE($A172,"'","''")&amp;"'"&amp;");")</f>
        <v/>
      </c>
    </row>
    <row r="173" customFormat="false" ht="15" hidden="false" customHeight="false" outlineLevel="0" collapsed="false">
      <c r="A173" s="26"/>
      <c r="B173" s="26"/>
      <c r="D173" s="25" t="str">
        <f aca="false">IF($A173="","","INSERT INTO Categorias (NomeCategoria, DescricaoCategoria) SELECT "&amp;"'"&amp;SUBSTITUTE($A173,"'","''")&amp;"'"&amp;", "&amp;IF($B173="","NULL","'"&amp;SUBSTITUTE($B173,"'","''")&amp;"'")&amp;" WHERE NOT EXISTS (SELECT 1 FROM Categorias WHERE NomeCategoria = "&amp;"'"&amp;SUBSTITUTE($A173,"'","''")&amp;"'"&amp;");")</f>
        <v/>
      </c>
    </row>
    <row r="174" customFormat="false" ht="15" hidden="false" customHeight="false" outlineLevel="0" collapsed="false">
      <c r="A174" s="26"/>
      <c r="B174" s="26"/>
      <c r="D174" s="25" t="str">
        <f aca="false">IF($A174="","","INSERT INTO Categorias (NomeCategoria, DescricaoCategoria) SELECT "&amp;"'"&amp;SUBSTITUTE($A174,"'","''")&amp;"'"&amp;", "&amp;IF($B174="","NULL","'"&amp;SUBSTITUTE($B174,"'","''")&amp;"'")&amp;" WHERE NOT EXISTS (SELECT 1 FROM Categorias WHERE NomeCategoria = "&amp;"'"&amp;SUBSTITUTE($A174,"'","''")&amp;"'"&amp;");")</f>
        <v/>
      </c>
    </row>
    <row r="175" customFormat="false" ht="15" hidden="false" customHeight="false" outlineLevel="0" collapsed="false">
      <c r="A175" s="26"/>
      <c r="B175" s="26"/>
      <c r="D175" s="25" t="str">
        <f aca="false">IF($A175="","","INSERT INTO Categorias (NomeCategoria, DescricaoCategoria) SELECT "&amp;"'"&amp;SUBSTITUTE($A175,"'","''")&amp;"'"&amp;", "&amp;IF($B175="","NULL","'"&amp;SUBSTITUTE($B175,"'","''")&amp;"'")&amp;" WHERE NOT EXISTS (SELECT 1 FROM Categorias WHERE NomeCategoria = "&amp;"'"&amp;SUBSTITUTE($A175,"'","''")&amp;"'"&amp;");")</f>
        <v/>
      </c>
    </row>
    <row r="176" customFormat="false" ht="15" hidden="false" customHeight="false" outlineLevel="0" collapsed="false">
      <c r="A176" s="26"/>
      <c r="B176" s="26"/>
      <c r="D176" s="25" t="str">
        <f aca="false">IF($A176="","","INSERT INTO Categorias (NomeCategoria, DescricaoCategoria) SELECT "&amp;"'"&amp;SUBSTITUTE($A176,"'","''")&amp;"'"&amp;", "&amp;IF($B176="","NULL","'"&amp;SUBSTITUTE($B176,"'","''")&amp;"'")&amp;" WHERE NOT EXISTS (SELECT 1 FROM Categorias WHERE NomeCategoria = "&amp;"'"&amp;SUBSTITUTE($A176,"'","''")&amp;"'"&amp;");")</f>
        <v/>
      </c>
    </row>
    <row r="177" customFormat="false" ht="15" hidden="false" customHeight="false" outlineLevel="0" collapsed="false">
      <c r="A177" s="26"/>
      <c r="B177" s="26"/>
      <c r="D177" s="25" t="str">
        <f aca="false">IF($A177="","","INSERT INTO Categorias (NomeCategoria, DescricaoCategoria) SELECT "&amp;"'"&amp;SUBSTITUTE($A177,"'","''")&amp;"'"&amp;", "&amp;IF($B177="","NULL","'"&amp;SUBSTITUTE($B177,"'","''")&amp;"'")&amp;" WHERE NOT EXISTS (SELECT 1 FROM Categorias WHERE NomeCategoria = "&amp;"'"&amp;SUBSTITUTE($A177,"'","''")&amp;"'"&amp;");")</f>
        <v/>
      </c>
    </row>
    <row r="178" customFormat="false" ht="15" hidden="false" customHeight="false" outlineLevel="0" collapsed="false">
      <c r="A178" s="26"/>
      <c r="B178" s="26"/>
      <c r="D178" s="25" t="str">
        <f aca="false">IF($A178="","","INSERT INTO Categorias (NomeCategoria, DescricaoCategoria) SELECT "&amp;"'"&amp;SUBSTITUTE($A178,"'","''")&amp;"'"&amp;", "&amp;IF($B178="","NULL","'"&amp;SUBSTITUTE($B178,"'","''")&amp;"'")&amp;" WHERE NOT EXISTS (SELECT 1 FROM Categorias WHERE NomeCategoria = "&amp;"'"&amp;SUBSTITUTE($A178,"'","''")&amp;"'"&amp;");")</f>
        <v/>
      </c>
    </row>
    <row r="179" customFormat="false" ht="15" hidden="false" customHeight="false" outlineLevel="0" collapsed="false">
      <c r="A179" s="26"/>
      <c r="B179" s="26"/>
      <c r="D179" s="25" t="str">
        <f aca="false">IF($A179="","","INSERT INTO Categorias (NomeCategoria, DescricaoCategoria) SELECT "&amp;"'"&amp;SUBSTITUTE($A179,"'","''")&amp;"'"&amp;", "&amp;IF($B179="","NULL","'"&amp;SUBSTITUTE($B179,"'","''")&amp;"'")&amp;" WHERE NOT EXISTS (SELECT 1 FROM Categorias WHERE NomeCategoria = "&amp;"'"&amp;SUBSTITUTE($A179,"'","''")&amp;"'"&amp;");")</f>
        <v/>
      </c>
    </row>
    <row r="180" customFormat="false" ht="15" hidden="false" customHeight="false" outlineLevel="0" collapsed="false">
      <c r="A180" s="26"/>
      <c r="B180" s="26"/>
      <c r="D180" s="25" t="str">
        <f aca="false">IF($A180="","","INSERT INTO Categorias (NomeCategoria, DescricaoCategoria) SELECT "&amp;"'"&amp;SUBSTITUTE($A180,"'","''")&amp;"'"&amp;", "&amp;IF($B180="","NULL","'"&amp;SUBSTITUTE($B180,"'","''")&amp;"'")&amp;" WHERE NOT EXISTS (SELECT 1 FROM Categorias WHERE NomeCategoria = "&amp;"'"&amp;SUBSTITUTE($A180,"'","''")&amp;"'"&amp;");")</f>
        <v/>
      </c>
    </row>
    <row r="181" customFormat="false" ht="15" hidden="false" customHeight="false" outlineLevel="0" collapsed="false">
      <c r="A181" s="26"/>
      <c r="B181" s="26"/>
      <c r="D181" s="25" t="str">
        <f aca="false">IF($A181="","","INSERT INTO Categorias (NomeCategoria, DescricaoCategoria) SELECT "&amp;"'"&amp;SUBSTITUTE($A181,"'","''")&amp;"'"&amp;", "&amp;IF($B181="","NULL","'"&amp;SUBSTITUTE($B181,"'","''")&amp;"'")&amp;" WHERE NOT EXISTS (SELECT 1 FROM Categorias WHERE NomeCategoria = "&amp;"'"&amp;SUBSTITUTE($A181,"'","''")&amp;"'"&amp;");")</f>
        <v/>
      </c>
    </row>
    <row r="182" customFormat="false" ht="15" hidden="false" customHeight="false" outlineLevel="0" collapsed="false">
      <c r="A182" s="26"/>
      <c r="B182" s="26"/>
      <c r="D182" s="25" t="str">
        <f aca="false">IF($A182="","","INSERT INTO Categorias (NomeCategoria, DescricaoCategoria) SELECT "&amp;"'"&amp;SUBSTITUTE($A182,"'","''")&amp;"'"&amp;", "&amp;IF($B182="","NULL","'"&amp;SUBSTITUTE($B182,"'","''")&amp;"'")&amp;" WHERE NOT EXISTS (SELECT 1 FROM Categorias WHERE NomeCategoria = "&amp;"'"&amp;SUBSTITUTE($A182,"'","''")&amp;"'"&amp;");")</f>
        <v/>
      </c>
    </row>
    <row r="183" customFormat="false" ht="15" hidden="false" customHeight="false" outlineLevel="0" collapsed="false">
      <c r="A183" s="26"/>
      <c r="B183" s="26"/>
      <c r="D183" s="25" t="str">
        <f aca="false">IF($A183="","","INSERT INTO Categorias (NomeCategoria, DescricaoCategoria) SELECT "&amp;"'"&amp;SUBSTITUTE($A183,"'","''")&amp;"'"&amp;", "&amp;IF($B183="","NULL","'"&amp;SUBSTITUTE($B183,"'","''")&amp;"'")&amp;" WHERE NOT EXISTS (SELECT 1 FROM Categorias WHERE NomeCategoria = "&amp;"'"&amp;SUBSTITUTE($A183,"'","''")&amp;"'"&amp;");")</f>
        <v/>
      </c>
    </row>
    <row r="184" customFormat="false" ht="15" hidden="false" customHeight="false" outlineLevel="0" collapsed="false">
      <c r="A184" s="26"/>
      <c r="B184" s="26"/>
      <c r="D184" s="25" t="str">
        <f aca="false">IF($A184="","","INSERT INTO Categorias (NomeCategoria, DescricaoCategoria) SELECT "&amp;"'"&amp;SUBSTITUTE($A184,"'","''")&amp;"'"&amp;", "&amp;IF($B184="","NULL","'"&amp;SUBSTITUTE($B184,"'","''")&amp;"'")&amp;" WHERE NOT EXISTS (SELECT 1 FROM Categorias WHERE NomeCategoria = "&amp;"'"&amp;SUBSTITUTE($A184,"'","''")&amp;"'"&amp;");")</f>
        <v/>
      </c>
    </row>
    <row r="185" customFormat="false" ht="15" hidden="false" customHeight="false" outlineLevel="0" collapsed="false">
      <c r="A185" s="26"/>
      <c r="B185" s="26"/>
      <c r="D185" s="25" t="str">
        <f aca="false">IF($A185="","","INSERT INTO Categorias (NomeCategoria, DescricaoCategoria) SELECT "&amp;"'"&amp;SUBSTITUTE($A185,"'","''")&amp;"'"&amp;", "&amp;IF($B185="","NULL","'"&amp;SUBSTITUTE($B185,"'","''")&amp;"'")&amp;" WHERE NOT EXISTS (SELECT 1 FROM Categorias WHERE NomeCategoria = "&amp;"'"&amp;SUBSTITUTE($A185,"'","''")&amp;"'"&amp;");")</f>
        <v/>
      </c>
    </row>
    <row r="186" customFormat="false" ht="15" hidden="false" customHeight="false" outlineLevel="0" collapsed="false">
      <c r="A186" s="26"/>
      <c r="B186" s="26"/>
      <c r="D186" s="25" t="str">
        <f aca="false">IF($A186="","","INSERT INTO Categorias (NomeCategoria, DescricaoCategoria) SELECT "&amp;"'"&amp;SUBSTITUTE($A186,"'","''")&amp;"'"&amp;", "&amp;IF($B186="","NULL","'"&amp;SUBSTITUTE($B186,"'","''")&amp;"'")&amp;" WHERE NOT EXISTS (SELECT 1 FROM Categorias WHERE NomeCategoria = "&amp;"'"&amp;SUBSTITUTE($A186,"'","''")&amp;"'"&amp;");")</f>
        <v/>
      </c>
    </row>
    <row r="187" customFormat="false" ht="15" hidden="false" customHeight="false" outlineLevel="0" collapsed="false">
      <c r="A187" s="26"/>
      <c r="B187" s="26"/>
      <c r="D187" s="25" t="str">
        <f aca="false">IF($A187="","","INSERT INTO Categorias (NomeCategoria, DescricaoCategoria) SELECT "&amp;"'"&amp;SUBSTITUTE($A187,"'","''")&amp;"'"&amp;", "&amp;IF($B187="","NULL","'"&amp;SUBSTITUTE($B187,"'","''")&amp;"'")&amp;" WHERE NOT EXISTS (SELECT 1 FROM Categorias WHERE NomeCategoria = "&amp;"'"&amp;SUBSTITUTE($A187,"'","''")&amp;"'"&amp;");")</f>
        <v/>
      </c>
    </row>
    <row r="188" customFormat="false" ht="15" hidden="false" customHeight="false" outlineLevel="0" collapsed="false">
      <c r="A188" s="26"/>
      <c r="B188" s="26"/>
      <c r="D188" s="25" t="str">
        <f aca="false">IF($A188="","","INSERT INTO Categorias (NomeCategoria, DescricaoCategoria) SELECT "&amp;"'"&amp;SUBSTITUTE($A188,"'","''")&amp;"'"&amp;", "&amp;IF($B188="","NULL","'"&amp;SUBSTITUTE($B188,"'","''")&amp;"'")&amp;" WHERE NOT EXISTS (SELECT 1 FROM Categorias WHERE NomeCategoria = "&amp;"'"&amp;SUBSTITUTE($A188,"'","''")&amp;"'"&amp;");")</f>
        <v/>
      </c>
    </row>
    <row r="189" customFormat="false" ht="15" hidden="false" customHeight="false" outlineLevel="0" collapsed="false">
      <c r="A189" s="26"/>
      <c r="B189" s="26"/>
      <c r="D189" s="25" t="str">
        <f aca="false">IF($A189="","","INSERT INTO Categorias (NomeCategoria, DescricaoCategoria) SELECT "&amp;"'"&amp;SUBSTITUTE($A189,"'","''")&amp;"'"&amp;", "&amp;IF($B189="","NULL","'"&amp;SUBSTITUTE($B189,"'","''")&amp;"'")&amp;" WHERE NOT EXISTS (SELECT 1 FROM Categorias WHERE NomeCategoria = "&amp;"'"&amp;SUBSTITUTE($A189,"'","''")&amp;"'"&amp;");")</f>
        <v/>
      </c>
    </row>
    <row r="190" customFormat="false" ht="15" hidden="false" customHeight="false" outlineLevel="0" collapsed="false">
      <c r="A190" s="26"/>
      <c r="B190" s="26"/>
      <c r="D190" s="25" t="str">
        <f aca="false">IF($A190="","","INSERT INTO Categorias (NomeCategoria, DescricaoCategoria) SELECT "&amp;"'"&amp;SUBSTITUTE($A190,"'","''")&amp;"'"&amp;", "&amp;IF($B190="","NULL","'"&amp;SUBSTITUTE($B190,"'","''")&amp;"'")&amp;" WHERE NOT EXISTS (SELECT 1 FROM Categorias WHERE NomeCategoria = "&amp;"'"&amp;SUBSTITUTE($A190,"'","''")&amp;"'"&amp;");")</f>
        <v/>
      </c>
    </row>
    <row r="191" customFormat="false" ht="15" hidden="false" customHeight="false" outlineLevel="0" collapsed="false">
      <c r="A191" s="26"/>
      <c r="B191" s="26"/>
      <c r="D191" s="25" t="str">
        <f aca="false">IF($A191="","","INSERT INTO Categorias (NomeCategoria, DescricaoCategoria) SELECT "&amp;"'"&amp;SUBSTITUTE($A191,"'","''")&amp;"'"&amp;", "&amp;IF($B191="","NULL","'"&amp;SUBSTITUTE($B191,"'","''")&amp;"'")&amp;" WHERE NOT EXISTS (SELECT 1 FROM Categorias WHERE NomeCategoria = "&amp;"'"&amp;SUBSTITUTE($A191,"'","''")&amp;"'"&amp;");")</f>
        <v/>
      </c>
    </row>
    <row r="192" customFormat="false" ht="15" hidden="false" customHeight="false" outlineLevel="0" collapsed="false">
      <c r="A192" s="26"/>
      <c r="B192" s="26"/>
      <c r="D192" s="25" t="str">
        <f aca="false">IF($A192="","","INSERT INTO Categorias (NomeCategoria, DescricaoCategoria) SELECT "&amp;"'"&amp;SUBSTITUTE($A192,"'","''")&amp;"'"&amp;", "&amp;IF($B192="","NULL","'"&amp;SUBSTITUTE($B192,"'","''")&amp;"'")&amp;" WHERE NOT EXISTS (SELECT 1 FROM Categorias WHERE NomeCategoria = "&amp;"'"&amp;SUBSTITUTE($A192,"'","''")&amp;"'"&amp;");")</f>
        <v/>
      </c>
    </row>
    <row r="193" customFormat="false" ht="15" hidden="false" customHeight="false" outlineLevel="0" collapsed="false">
      <c r="A193" s="26"/>
      <c r="B193" s="26"/>
      <c r="D193" s="25" t="str">
        <f aca="false">IF($A193="","","INSERT INTO Categorias (NomeCategoria, DescricaoCategoria) SELECT "&amp;"'"&amp;SUBSTITUTE($A193,"'","''")&amp;"'"&amp;", "&amp;IF($B193="","NULL","'"&amp;SUBSTITUTE($B193,"'","''")&amp;"'")&amp;" WHERE NOT EXISTS (SELECT 1 FROM Categorias WHERE NomeCategoria = "&amp;"'"&amp;SUBSTITUTE($A193,"'","''")&amp;"'"&amp;");")</f>
        <v/>
      </c>
    </row>
    <row r="194" customFormat="false" ht="15" hidden="false" customHeight="false" outlineLevel="0" collapsed="false">
      <c r="A194" s="26"/>
      <c r="B194" s="26"/>
      <c r="D194" s="25" t="str">
        <f aca="false">IF($A194="","","INSERT INTO Categorias (NomeCategoria, DescricaoCategoria) SELECT "&amp;"'"&amp;SUBSTITUTE($A194,"'","''")&amp;"'"&amp;", "&amp;IF($B194="","NULL","'"&amp;SUBSTITUTE($B194,"'","''")&amp;"'")&amp;" WHERE NOT EXISTS (SELECT 1 FROM Categorias WHERE NomeCategoria = "&amp;"'"&amp;SUBSTITUTE($A194,"'","''")&amp;"'"&amp;");")</f>
        <v/>
      </c>
    </row>
    <row r="195" customFormat="false" ht="15" hidden="false" customHeight="false" outlineLevel="0" collapsed="false">
      <c r="A195" s="26"/>
      <c r="B195" s="26"/>
      <c r="D195" s="25" t="str">
        <f aca="false">IF($A195="","","INSERT INTO Categorias (NomeCategoria, DescricaoCategoria) SELECT "&amp;"'"&amp;SUBSTITUTE($A195,"'","''")&amp;"'"&amp;", "&amp;IF($B195="","NULL","'"&amp;SUBSTITUTE($B195,"'","''")&amp;"'")&amp;" WHERE NOT EXISTS (SELECT 1 FROM Categorias WHERE NomeCategoria = "&amp;"'"&amp;SUBSTITUTE($A195,"'","''")&amp;"'"&amp;");")</f>
        <v/>
      </c>
    </row>
    <row r="196" customFormat="false" ht="15" hidden="false" customHeight="false" outlineLevel="0" collapsed="false">
      <c r="A196" s="26"/>
      <c r="B196" s="26"/>
      <c r="D196" s="25" t="str">
        <f aca="false">IF($A196="","","INSERT INTO Categorias (NomeCategoria, DescricaoCategoria) SELECT "&amp;"'"&amp;SUBSTITUTE($A196,"'","''")&amp;"'"&amp;", "&amp;IF($B196="","NULL","'"&amp;SUBSTITUTE($B196,"'","''")&amp;"'")&amp;" WHERE NOT EXISTS (SELECT 1 FROM Categorias WHERE NomeCategoria = "&amp;"'"&amp;SUBSTITUTE($A196,"'","''")&amp;"'"&amp;");")</f>
        <v/>
      </c>
    </row>
    <row r="197" customFormat="false" ht="15" hidden="false" customHeight="false" outlineLevel="0" collapsed="false">
      <c r="A197" s="26"/>
      <c r="B197" s="26"/>
      <c r="D197" s="25" t="str">
        <f aca="false">IF($A197="","","INSERT INTO Categorias (NomeCategoria, DescricaoCategoria) SELECT "&amp;"'"&amp;SUBSTITUTE($A197,"'","''")&amp;"'"&amp;", "&amp;IF($B197="","NULL","'"&amp;SUBSTITUTE($B197,"'","''")&amp;"'")&amp;" WHERE NOT EXISTS (SELECT 1 FROM Categorias WHERE NomeCategoria = "&amp;"'"&amp;SUBSTITUTE($A197,"'","''")&amp;"'"&amp;");")</f>
        <v/>
      </c>
    </row>
    <row r="198" customFormat="false" ht="15" hidden="false" customHeight="false" outlineLevel="0" collapsed="false">
      <c r="A198" s="26"/>
      <c r="B198" s="26"/>
      <c r="D198" s="25" t="str">
        <f aca="false">IF($A198="","","INSERT INTO Categorias (NomeCategoria, DescricaoCategoria) SELECT "&amp;"'"&amp;SUBSTITUTE($A198,"'","''")&amp;"'"&amp;", "&amp;IF($B198="","NULL","'"&amp;SUBSTITUTE($B198,"'","''")&amp;"'")&amp;" WHERE NOT EXISTS (SELECT 1 FROM Categorias WHERE NomeCategoria = "&amp;"'"&amp;SUBSTITUTE($A198,"'","''")&amp;"'"&amp;");")</f>
        <v/>
      </c>
    </row>
    <row r="199" customFormat="false" ht="15" hidden="false" customHeight="false" outlineLevel="0" collapsed="false">
      <c r="A199" s="26"/>
      <c r="B199" s="26"/>
      <c r="D199" s="25" t="str">
        <f aca="false">IF($A199="","","INSERT INTO Categorias (NomeCategoria, DescricaoCategoria) SELECT "&amp;"'"&amp;SUBSTITUTE($A199,"'","''")&amp;"'"&amp;", "&amp;IF($B199="","NULL","'"&amp;SUBSTITUTE($B199,"'","''")&amp;"'")&amp;" WHERE NOT EXISTS (SELECT 1 FROM Categorias WHERE NomeCategoria = "&amp;"'"&amp;SUBSTITUTE($A199,"'","''")&amp;"'"&amp;");")</f>
        <v/>
      </c>
    </row>
    <row r="200" customFormat="false" ht="15" hidden="false" customHeight="false" outlineLevel="0" collapsed="false">
      <c r="A200" s="26"/>
      <c r="B200" s="26"/>
      <c r="D200" s="25" t="str">
        <f aca="false">IF($A200="","","INSERT INTO Categorias (NomeCategoria, DescricaoCategoria) SELECT "&amp;"'"&amp;SUBSTITUTE($A200,"'","''")&amp;"'"&amp;", "&amp;IF($B200="","NULL","'"&amp;SUBSTITUTE($B200,"'","''")&amp;"'")&amp;" WHERE NOT EXISTS (SELECT 1 FROM Categorias WHERE NomeCategoria = "&amp;"'"&amp;SUBSTITUTE($A200,"'","''")&amp;"'"&amp;");")</f>
        <v/>
      </c>
    </row>
    <row r="201" customFormat="false" ht="15" hidden="false" customHeight="false" outlineLevel="0" collapsed="false">
      <c r="A201" s="26"/>
      <c r="B201" s="26"/>
      <c r="D201" s="25" t="str">
        <f aca="false">IF($A201="","","INSERT INTO Categorias (NomeCategoria, DescricaoCategoria) SELECT "&amp;"'"&amp;SUBSTITUTE($A201,"'","''")&amp;"'"&amp;", "&amp;IF($B201="","NULL","'"&amp;SUBSTITUTE($B201,"'","''")&amp;"'")&amp;" WHERE NOT EXISTS (SELECT 1 FROM Categorias WHERE NomeCategoria = "&amp;"'"&amp;SUBSTITUTE($A201,"'","''")&amp;"'"&amp;");")</f>
        <v/>
      </c>
    </row>
    <row r="202" customFormat="false" ht="15" hidden="false" customHeight="false" outlineLevel="0" collapsed="false">
      <c r="A202" s="26"/>
      <c r="B202" s="26"/>
      <c r="D202" s="25" t="str">
        <f aca="false">IF($A202="","","INSERT INTO Categorias (NomeCategoria, DescricaoCategoria) SELECT "&amp;"'"&amp;SUBSTITUTE($A202,"'","''")&amp;"'"&amp;", "&amp;IF($B202="","NULL","'"&amp;SUBSTITUTE($B202,"'","''")&amp;"'")&amp;" WHERE NOT EXISTS (SELECT 1 FROM Categorias WHERE NomeCategoria = "&amp;"'"&amp;SUBSTITUTE($A202,"'","''")&amp;"'"&amp;");")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8" min="8" style="0" width="110"/>
  </cols>
  <sheetData>
    <row r="1" customFormat="false" ht="21.75" hidden="false" customHeight="true" outlineLevel="0" collapsed="false">
      <c r="A1" s="20" t="s">
        <v>134</v>
      </c>
      <c r="B1" s="20" t="s">
        <v>135</v>
      </c>
      <c r="C1" s="20" t="s">
        <v>136</v>
      </c>
      <c r="D1" s="20" t="s">
        <v>137</v>
      </c>
      <c r="E1" s="20" t="s">
        <v>65</v>
      </c>
      <c r="F1" s="20" t="s">
        <v>138</v>
      </c>
      <c r="H1" s="21" t="s">
        <v>128</v>
      </c>
    </row>
    <row r="2" customFormat="false" ht="30" hidden="false" customHeight="true" outlineLevel="0" collapsed="false">
      <c r="A2" s="22" t="s">
        <v>139</v>
      </c>
      <c r="B2" s="22" t="s">
        <v>140</v>
      </c>
      <c r="C2" s="22" t="s">
        <v>141</v>
      </c>
      <c r="D2" s="22" t="s">
        <v>142</v>
      </c>
      <c r="E2" s="22" t="s">
        <v>143</v>
      </c>
      <c r="F2" s="22" t="s">
        <v>144</v>
      </c>
      <c r="H2" s="23" t="s">
        <v>131</v>
      </c>
    </row>
    <row r="3" customFormat="false" ht="15" hidden="false" customHeight="false" outlineLevel="0" collapsed="false">
      <c r="A3" s="24" t="s">
        <v>145</v>
      </c>
      <c r="B3" s="24" t="s">
        <v>146</v>
      </c>
      <c r="C3" s="24" t="s">
        <v>147</v>
      </c>
      <c r="D3" s="24" t="s">
        <v>148</v>
      </c>
      <c r="E3" s="27" t="s">
        <v>149</v>
      </c>
      <c r="F3" s="24" t="n">
        <v>1</v>
      </c>
      <c r="H3" s="25" t="str">
        <f aca="false">IF($A3="","","INSERT INTO Usuario (NomeUsuario, Email, TipoUsuario, SenhaHash, DataCadastro, Ativo) SELECT "&amp;"'"&amp;SUBSTITUTE($A3,"'","''")&amp;"'"&amp;", "&amp;"'"&amp;SUBSTITUTE($B3,"'","''")&amp;"'"&amp;", "&amp;"'"&amp;SUBSTITUTE($C3,"'","''")&amp;"'"&amp;", HASHBYTES('SHA2_512', "&amp;"'"&amp;SUBSTITUTE($D3,"'","''")&amp;"'"&amp;"), "&amp;IF($E3="","SYSDATETIME()","'"&amp;SUBSTITUTE($E3,"'","''")&amp;"'")&amp;", "&amp;IF($F3="","1",$F3)&amp;" WHERE NOT EXISTS (SELECT 1 FROM Usuario WHERE NomeUsuario = "&amp;"'"&amp;SUBSTITUTE($A3,"'","''")&amp;"'"&amp;" OR Email = "&amp;"'"&amp;SUBSTITUTE($B3,"'","''")&amp;"'"&amp;");")</f>
        <v>INSERT INTO Usuario (NomeUsuario, Email, TipoUsuario, SenhaHash, DataCadastro, Ativo) SELECT 'wjunior', 'wjunior@exemplo.com', 'Admin', HASHBYTES('SHA2_512', 'Troca@2026'), '2026-09-21 09:00:00', 1 WHERE NOT EXISTS (SELECT 1 FROM Usuario WHERE NomeUsuario = 'wjunior' OR Email = 'wjunior@exemplo.com');</v>
      </c>
    </row>
    <row r="4" customFormat="false" ht="15" hidden="false" customHeight="false" outlineLevel="0" collapsed="false">
      <c r="A4" s="26"/>
      <c r="B4" s="26"/>
      <c r="C4" s="26"/>
      <c r="D4" s="26"/>
      <c r="E4" s="28"/>
      <c r="F4" s="26"/>
      <c r="H4" s="25" t="str">
        <f aca="false">IF($A4="","","INSERT INTO Usuario (NomeUsuario, Email, TipoUsuario, SenhaHash, DataCadastro, Ativo) SELECT "&amp;"'"&amp;SUBSTITUTE($A4,"'","''")&amp;"'"&amp;", "&amp;"'"&amp;SUBSTITUTE($B4,"'","''")&amp;"'"&amp;", "&amp;"'"&amp;SUBSTITUTE($C4,"'","''")&amp;"'"&amp;", HASHBYTES('SHA2_512', "&amp;"'"&amp;SUBSTITUTE($D4,"'","''")&amp;"'"&amp;"), "&amp;IF($E4="","SYSDATETIME()","'"&amp;SUBSTITUTE($E4,"'","''")&amp;"'")&amp;", "&amp;IF($F4="","1",$F4)&amp;" WHERE NOT EXISTS (SELECT 1 FROM Usuario WHERE NomeUsuario = "&amp;"'"&amp;SUBSTITUTE($A4,"'","''")&amp;"'"&amp;" OR Email = "&amp;"'"&amp;SUBSTITUTE($B4,"'","''")&amp;"'"&amp;");")</f>
        <v/>
      </c>
    </row>
    <row r="5" customFormat="false" ht="15" hidden="false" customHeight="false" outlineLevel="0" collapsed="false">
      <c r="A5" s="26"/>
      <c r="B5" s="26"/>
      <c r="C5" s="26"/>
      <c r="D5" s="26"/>
      <c r="E5" s="28"/>
      <c r="F5" s="26"/>
      <c r="H5" s="25" t="str">
        <f aca="false">IF($A5="","","INSERT INTO Usuario (NomeUsuario, Email, TipoUsuario, SenhaHash, DataCadastro, Ativo) SELECT "&amp;"'"&amp;SUBSTITUTE($A5,"'","''")&amp;"'"&amp;", "&amp;"'"&amp;SUBSTITUTE($B5,"'","''")&amp;"'"&amp;", "&amp;"'"&amp;SUBSTITUTE($C5,"'","''")&amp;"'"&amp;", HASHBYTES('SHA2_512', "&amp;"'"&amp;SUBSTITUTE($D5,"'","''")&amp;"'"&amp;"), "&amp;IF($E5="","SYSDATETIME()","'"&amp;SUBSTITUTE($E5,"'","''")&amp;"'")&amp;", "&amp;IF($F5="","1",$F5)&amp;" WHERE NOT EXISTS (SELECT 1 FROM Usuario WHERE NomeUsuario = "&amp;"'"&amp;SUBSTITUTE($A5,"'","''")&amp;"'"&amp;" OR Email = "&amp;"'"&amp;SUBSTITUTE($B5,"'","''")&amp;"'"&amp;");")</f>
        <v/>
      </c>
    </row>
    <row r="6" customFormat="false" ht="15" hidden="false" customHeight="false" outlineLevel="0" collapsed="false">
      <c r="A6" s="26"/>
      <c r="B6" s="26"/>
      <c r="C6" s="26"/>
      <c r="D6" s="26"/>
      <c r="E6" s="28"/>
      <c r="F6" s="26"/>
      <c r="H6" s="25" t="str">
        <f aca="false">IF($A6="","","INSERT INTO Usuario (NomeUsuario, Email, TipoUsuario, SenhaHash, DataCadastro, Ativo) SELECT "&amp;"'"&amp;SUBSTITUTE($A6,"'","''")&amp;"'"&amp;", "&amp;"'"&amp;SUBSTITUTE($B6,"'","''")&amp;"'"&amp;", "&amp;"'"&amp;SUBSTITUTE($C6,"'","''")&amp;"'"&amp;", HASHBYTES('SHA2_512', "&amp;"'"&amp;SUBSTITUTE($D6,"'","''")&amp;"'"&amp;"), "&amp;IF($E6="","SYSDATETIME()","'"&amp;SUBSTITUTE($E6,"'","''")&amp;"'")&amp;", "&amp;IF($F6="","1",$F6)&amp;" WHERE NOT EXISTS (SELECT 1 FROM Usuario WHERE NomeUsuario = "&amp;"'"&amp;SUBSTITUTE($A6,"'","''")&amp;"'"&amp;" OR Email = "&amp;"'"&amp;SUBSTITUTE($B6,"'","''")&amp;"'"&amp;");")</f>
        <v/>
      </c>
    </row>
    <row r="7" customFormat="false" ht="15" hidden="false" customHeight="false" outlineLevel="0" collapsed="false">
      <c r="A7" s="26"/>
      <c r="B7" s="26"/>
      <c r="C7" s="26"/>
      <c r="D7" s="26"/>
      <c r="E7" s="28"/>
      <c r="F7" s="26"/>
      <c r="H7" s="25" t="str">
        <f aca="false">IF($A7="","","INSERT INTO Usuario (NomeUsuario, Email, TipoUsuario, SenhaHash, DataCadastro, Ativo) SELECT "&amp;"'"&amp;SUBSTITUTE($A7,"'","''")&amp;"'"&amp;", "&amp;"'"&amp;SUBSTITUTE($B7,"'","''")&amp;"'"&amp;", "&amp;"'"&amp;SUBSTITUTE($C7,"'","''")&amp;"'"&amp;", HASHBYTES('SHA2_512', "&amp;"'"&amp;SUBSTITUTE($D7,"'","''")&amp;"'"&amp;"), "&amp;IF($E7="","SYSDATETIME()","'"&amp;SUBSTITUTE($E7,"'","''")&amp;"'")&amp;", "&amp;IF($F7="","1",$F7)&amp;" WHERE NOT EXISTS (SELECT 1 FROM Usuario WHERE NomeUsuario = "&amp;"'"&amp;SUBSTITUTE($A7,"'","''")&amp;"'"&amp;" OR Email = "&amp;"'"&amp;SUBSTITUTE($B7,"'","''")&amp;"'"&amp;");")</f>
        <v/>
      </c>
    </row>
    <row r="8" customFormat="false" ht="15" hidden="false" customHeight="false" outlineLevel="0" collapsed="false">
      <c r="A8" s="26"/>
      <c r="B8" s="26"/>
      <c r="C8" s="26"/>
      <c r="D8" s="26"/>
      <c r="E8" s="28"/>
      <c r="F8" s="26"/>
      <c r="H8" s="25" t="str">
        <f aca="false">IF($A8="","","INSERT INTO Usuario (NomeUsuario, Email, TipoUsuario, SenhaHash, DataCadastro, Ativo) SELECT "&amp;"'"&amp;SUBSTITUTE($A8,"'","''")&amp;"'"&amp;", "&amp;"'"&amp;SUBSTITUTE($B8,"'","''")&amp;"'"&amp;", "&amp;"'"&amp;SUBSTITUTE($C8,"'","''")&amp;"'"&amp;", HASHBYTES('SHA2_512', "&amp;"'"&amp;SUBSTITUTE($D8,"'","''")&amp;"'"&amp;"), "&amp;IF($E8="","SYSDATETIME()","'"&amp;SUBSTITUTE($E8,"'","''")&amp;"'")&amp;", "&amp;IF($F8="","1",$F8)&amp;" WHERE NOT EXISTS (SELECT 1 FROM Usuario WHERE NomeUsuario = "&amp;"'"&amp;SUBSTITUTE($A8,"'","''")&amp;"'"&amp;" OR Email = "&amp;"'"&amp;SUBSTITUTE($B8,"'","''")&amp;"'"&amp;");")</f>
        <v/>
      </c>
    </row>
    <row r="9" customFormat="false" ht="15" hidden="false" customHeight="false" outlineLevel="0" collapsed="false">
      <c r="A9" s="26"/>
      <c r="B9" s="26"/>
      <c r="C9" s="26"/>
      <c r="D9" s="26"/>
      <c r="E9" s="28"/>
      <c r="F9" s="26"/>
      <c r="H9" s="25" t="str">
        <f aca="false">IF($A9="","","INSERT INTO Usuario (NomeUsuario, Email, TipoUsuario, SenhaHash, DataCadastro, Ativo) SELECT "&amp;"'"&amp;SUBSTITUTE($A9,"'","''")&amp;"'"&amp;", "&amp;"'"&amp;SUBSTITUTE($B9,"'","''")&amp;"'"&amp;", "&amp;"'"&amp;SUBSTITUTE($C9,"'","''")&amp;"'"&amp;", HASHBYTES('SHA2_512', "&amp;"'"&amp;SUBSTITUTE($D9,"'","''")&amp;"'"&amp;"), "&amp;IF($E9="","SYSDATETIME()","'"&amp;SUBSTITUTE($E9,"'","''")&amp;"'")&amp;", "&amp;IF($F9="","1",$F9)&amp;" WHERE NOT EXISTS (SELECT 1 FROM Usuario WHERE NomeUsuario = "&amp;"'"&amp;SUBSTITUTE($A9,"'","''")&amp;"'"&amp;" OR Email = "&amp;"'"&amp;SUBSTITUTE($B9,"'","''")&amp;"'"&amp;");")</f>
        <v/>
      </c>
    </row>
    <row r="10" customFormat="false" ht="15" hidden="false" customHeight="false" outlineLevel="0" collapsed="false">
      <c r="A10" s="26"/>
      <c r="B10" s="26"/>
      <c r="C10" s="26"/>
      <c r="D10" s="26"/>
      <c r="E10" s="28"/>
      <c r="F10" s="26"/>
      <c r="H10" s="25" t="str">
        <f aca="false">IF($A10="","","INSERT INTO Usuario (NomeUsuario, Email, TipoUsuario, SenhaHash, DataCadastro, Ativo) SELECT "&amp;"'"&amp;SUBSTITUTE($A10,"'","''")&amp;"'"&amp;", "&amp;"'"&amp;SUBSTITUTE($B10,"'","''")&amp;"'"&amp;", "&amp;"'"&amp;SUBSTITUTE($C10,"'","''")&amp;"'"&amp;", HASHBYTES('SHA2_512', "&amp;"'"&amp;SUBSTITUTE($D10,"'","''")&amp;"'"&amp;"), "&amp;IF($E10="","SYSDATETIME()","'"&amp;SUBSTITUTE($E10,"'","''")&amp;"'")&amp;", "&amp;IF($F10="","1",$F10)&amp;" WHERE NOT EXISTS (SELECT 1 FROM Usuario WHERE NomeUsuario = "&amp;"'"&amp;SUBSTITUTE($A10,"'","''")&amp;"'"&amp;" OR Email = "&amp;"'"&amp;SUBSTITUTE($B10,"'","''")&amp;"'"&amp;");")</f>
        <v/>
      </c>
    </row>
    <row r="11" customFormat="false" ht="15" hidden="false" customHeight="false" outlineLevel="0" collapsed="false">
      <c r="A11" s="26"/>
      <c r="B11" s="26"/>
      <c r="C11" s="26"/>
      <c r="D11" s="26"/>
      <c r="E11" s="28"/>
      <c r="F11" s="26"/>
      <c r="H11" s="25" t="str">
        <f aca="false">IF($A11="","","INSERT INTO Usuario (NomeUsuario, Email, TipoUsuario, SenhaHash, DataCadastro, Ativo) SELECT "&amp;"'"&amp;SUBSTITUTE($A11,"'","''")&amp;"'"&amp;", "&amp;"'"&amp;SUBSTITUTE($B11,"'","''")&amp;"'"&amp;", "&amp;"'"&amp;SUBSTITUTE($C11,"'","''")&amp;"'"&amp;", HASHBYTES('SHA2_512', "&amp;"'"&amp;SUBSTITUTE($D11,"'","''")&amp;"'"&amp;"), "&amp;IF($E11="","SYSDATETIME()","'"&amp;SUBSTITUTE($E11,"'","''")&amp;"'")&amp;", "&amp;IF($F11="","1",$F11)&amp;" WHERE NOT EXISTS (SELECT 1 FROM Usuario WHERE NomeUsuario = "&amp;"'"&amp;SUBSTITUTE($A11,"'","''")&amp;"'"&amp;" OR Email = "&amp;"'"&amp;SUBSTITUTE($B11,"'","''")&amp;"'"&amp;");")</f>
        <v/>
      </c>
    </row>
    <row r="12" customFormat="false" ht="15" hidden="false" customHeight="false" outlineLevel="0" collapsed="false">
      <c r="A12" s="26"/>
      <c r="B12" s="26"/>
      <c r="C12" s="26"/>
      <c r="D12" s="26"/>
      <c r="E12" s="28"/>
      <c r="F12" s="26"/>
      <c r="H12" s="25" t="str">
        <f aca="false">IF($A12="","","INSERT INTO Usuario (NomeUsuario, Email, TipoUsuario, SenhaHash, DataCadastro, Ativo) SELECT "&amp;"'"&amp;SUBSTITUTE($A12,"'","''")&amp;"'"&amp;", "&amp;"'"&amp;SUBSTITUTE($B12,"'","''")&amp;"'"&amp;", "&amp;"'"&amp;SUBSTITUTE($C12,"'","''")&amp;"'"&amp;", HASHBYTES('SHA2_512', "&amp;"'"&amp;SUBSTITUTE($D12,"'","''")&amp;"'"&amp;"), "&amp;IF($E12="","SYSDATETIME()","'"&amp;SUBSTITUTE($E12,"'","''")&amp;"'")&amp;", "&amp;IF($F12="","1",$F12)&amp;" WHERE NOT EXISTS (SELECT 1 FROM Usuario WHERE NomeUsuario = "&amp;"'"&amp;SUBSTITUTE($A12,"'","''")&amp;"'"&amp;" OR Email = "&amp;"'"&amp;SUBSTITUTE($B12,"'","''")&amp;"'"&amp;");")</f>
        <v/>
      </c>
    </row>
    <row r="13" customFormat="false" ht="15" hidden="false" customHeight="false" outlineLevel="0" collapsed="false">
      <c r="A13" s="26"/>
      <c r="B13" s="26"/>
      <c r="C13" s="26"/>
      <c r="D13" s="26"/>
      <c r="E13" s="28"/>
      <c r="F13" s="26"/>
      <c r="H13" s="25" t="str">
        <f aca="false">IF($A13="","","INSERT INTO Usuario (NomeUsuario, Email, TipoUsuario, SenhaHash, DataCadastro, Ativo) SELECT "&amp;"'"&amp;SUBSTITUTE($A13,"'","''")&amp;"'"&amp;", "&amp;"'"&amp;SUBSTITUTE($B13,"'","''")&amp;"'"&amp;", "&amp;"'"&amp;SUBSTITUTE($C13,"'","''")&amp;"'"&amp;", HASHBYTES('SHA2_512', "&amp;"'"&amp;SUBSTITUTE($D13,"'","''")&amp;"'"&amp;"), "&amp;IF($E13="","SYSDATETIME()","'"&amp;SUBSTITUTE($E13,"'","''")&amp;"'")&amp;", "&amp;IF($F13="","1",$F13)&amp;" WHERE NOT EXISTS (SELECT 1 FROM Usuario WHERE NomeUsuario = "&amp;"'"&amp;SUBSTITUTE($A13,"'","''")&amp;"'"&amp;" OR Email = "&amp;"'"&amp;SUBSTITUTE($B13,"'","''")&amp;"'"&amp;");")</f>
        <v/>
      </c>
    </row>
    <row r="14" customFormat="false" ht="15" hidden="false" customHeight="false" outlineLevel="0" collapsed="false">
      <c r="A14" s="26"/>
      <c r="B14" s="26"/>
      <c r="C14" s="26"/>
      <c r="D14" s="26"/>
      <c r="E14" s="28"/>
      <c r="F14" s="26"/>
      <c r="H14" s="25" t="str">
        <f aca="false">IF($A14="","","INSERT INTO Usuario (NomeUsuario, Email, TipoUsuario, SenhaHash, DataCadastro, Ativo) SELECT "&amp;"'"&amp;SUBSTITUTE($A14,"'","''")&amp;"'"&amp;", "&amp;"'"&amp;SUBSTITUTE($B14,"'","''")&amp;"'"&amp;", "&amp;"'"&amp;SUBSTITUTE($C14,"'","''")&amp;"'"&amp;", HASHBYTES('SHA2_512', "&amp;"'"&amp;SUBSTITUTE($D14,"'","''")&amp;"'"&amp;"), "&amp;IF($E14="","SYSDATETIME()","'"&amp;SUBSTITUTE($E14,"'","''")&amp;"'")&amp;", "&amp;IF($F14="","1",$F14)&amp;" WHERE NOT EXISTS (SELECT 1 FROM Usuario WHERE NomeUsuario = "&amp;"'"&amp;SUBSTITUTE($A14,"'","''")&amp;"'"&amp;" OR Email = "&amp;"'"&amp;SUBSTITUTE($B14,"'","''")&amp;"'"&amp;");")</f>
        <v/>
      </c>
    </row>
    <row r="15" customFormat="false" ht="15" hidden="false" customHeight="false" outlineLevel="0" collapsed="false">
      <c r="A15" s="26"/>
      <c r="B15" s="26"/>
      <c r="C15" s="26"/>
      <c r="D15" s="26"/>
      <c r="E15" s="28"/>
      <c r="F15" s="26"/>
      <c r="H15" s="25" t="str">
        <f aca="false">IF($A15="","","INSERT INTO Usuario (NomeUsuario, Email, TipoUsuario, SenhaHash, DataCadastro, Ativo) SELECT "&amp;"'"&amp;SUBSTITUTE($A15,"'","''")&amp;"'"&amp;", "&amp;"'"&amp;SUBSTITUTE($B15,"'","''")&amp;"'"&amp;", "&amp;"'"&amp;SUBSTITUTE($C15,"'","''")&amp;"'"&amp;", HASHBYTES('SHA2_512', "&amp;"'"&amp;SUBSTITUTE($D15,"'","''")&amp;"'"&amp;"), "&amp;IF($E15="","SYSDATETIME()","'"&amp;SUBSTITUTE($E15,"'","''")&amp;"'")&amp;", "&amp;IF($F15="","1",$F15)&amp;" WHERE NOT EXISTS (SELECT 1 FROM Usuario WHERE NomeUsuario = "&amp;"'"&amp;SUBSTITUTE($A15,"'","''")&amp;"'"&amp;" OR Email = "&amp;"'"&amp;SUBSTITUTE($B15,"'","''")&amp;"'"&amp;");")</f>
        <v/>
      </c>
    </row>
    <row r="16" customFormat="false" ht="15" hidden="false" customHeight="false" outlineLevel="0" collapsed="false">
      <c r="A16" s="26"/>
      <c r="B16" s="26"/>
      <c r="C16" s="26"/>
      <c r="D16" s="26"/>
      <c r="E16" s="28"/>
      <c r="F16" s="26"/>
      <c r="H16" s="25" t="str">
        <f aca="false">IF($A16="","","INSERT INTO Usuario (NomeUsuario, Email, TipoUsuario, SenhaHash, DataCadastro, Ativo) SELECT "&amp;"'"&amp;SUBSTITUTE($A16,"'","''")&amp;"'"&amp;", "&amp;"'"&amp;SUBSTITUTE($B16,"'","''")&amp;"'"&amp;", "&amp;"'"&amp;SUBSTITUTE($C16,"'","''")&amp;"'"&amp;", HASHBYTES('SHA2_512', "&amp;"'"&amp;SUBSTITUTE($D16,"'","''")&amp;"'"&amp;"), "&amp;IF($E16="","SYSDATETIME()","'"&amp;SUBSTITUTE($E16,"'","''")&amp;"'")&amp;", "&amp;IF($F16="","1",$F16)&amp;" WHERE NOT EXISTS (SELECT 1 FROM Usuario WHERE NomeUsuario = "&amp;"'"&amp;SUBSTITUTE($A16,"'","''")&amp;"'"&amp;" OR Email = "&amp;"'"&amp;SUBSTITUTE($B16,"'","''")&amp;"'"&amp;");")</f>
        <v/>
      </c>
    </row>
    <row r="17" customFormat="false" ht="15" hidden="false" customHeight="false" outlineLevel="0" collapsed="false">
      <c r="A17" s="26"/>
      <c r="B17" s="26"/>
      <c r="C17" s="26"/>
      <c r="D17" s="26"/>
      <c r="E17" s="28"/>
      <c r="F17" s="26"/>
      <c r="H17" s="25" t="str">
        <f aca="false">IF($A17="","","INSERT INTO Usuario (NomeUsuario, Email, TipoUsuario, SenhaHash, DataCadastro, Ativo) SELECT "&amp;"'"&amp;SUBSTITUTE($A17,"'","''")&amp;"'"&amp;", "&amp;"'"&amp;SUBSTITUTE($B17,"'","''")&amp;"'"&amp;", "&amp;"'"&amp;SUBSTITUTE($C17,"'","''")&amp;"'"&amp;", HASHBYTES('SHA2_512', "&amp;"'"&amp;SUBSTITUTE($D17,"'","''")&amp;"'"&amp;"), "&amp;IF($E17="","SYSDATETIME()","'"&amp;SUBSTITUTE($E17,"'","''")&amp;"'")&amp;", "&amp;IF($F17="","1",$F17)&amp;" WHERE NOT EXISTS (SELECT 1 FROM Usuario WHERE NomeUsuario = "&amp;"'"&amp;SUBSTITUTE($A17,"'","''")&amp;"'"&amp;" OR Email = "&amp;"'"&amp;SUBSTITUTE($B17,"'","''")&amp;"'"&amp;");")</f>
        <v/>
      </c>
    </row>
    <row r="18" customFormat="false" ht="15" hidden="false" customHeight="false" outlineLevel="0" collapsed="false">
      <c r="A18" s="26"/>
      <c r="B18" s="26"/>
      <c r="C18" s="26"/>
      <c r="D18" s="26"/>
      <c r="E18" s="28"/>
      <c r="F18" s="26"/>
      <c r="H18" s="25" t="str">
        <f aca="false">IF($A18="","","INSERT INTO Usuario (NomeUsuario, Email, TipoUsuario, SenhaHash, DataCadastro, Ativo) SELECT "&amp;"'"&amp;SUBSTITUTE($A18,"'","''")&amp;"'"&amp;", "&amp;"'"&amp;SUBSTITUTE($B18,"'","''")&amp;"'"&amp;", "&amp;"'"&amp;SUBSTITUTE($C18,"'","''")&amp;"'"&amp;", HASHBYTES('SHA2_512', "&amp;"'"&amp;SUBSTITUTE($D18,"'","''")&amp;"'"&amp;"), "&amp;IF($E18="","SYSDATETIME()","'"&amp;SUBSTITUTE($E18,"'","''")&amp;"'")&amp;", "&amp;IF($F18="","1",$F18)&amp;" WHERE NOT EXISTS (SELECT 1 FROM Usuario WHERE NomeUsuario = "&amp;"'"&amp;SUBSTITUTE($A18,"'","''")&amp;"'"&amp;" OR Email = "&amp;"'"&amp;SUBSTITUTE($B18,"'","''")&amp;"'"&amp;");")</f>
        <v/>
      </c>
    </row>
    <row r="19" customFormat="false" ht="15" hidden="false" customHeight="false" outlineLevel="0" collapsed="false">
      <c r="A19" s="26"/>
      <c r="B19" s="26"/>
      <c r="C19" s="26"/>
      <c r="D19" s="26"/>
      <c r="E19" s="28"/>
      <c r="F19" s="26"/>
      <c r="H19" s="25" t="str">
        <f aca="false">IF($A19="","","INSERT INTO Usuario (NomeUsuario, Email, TipoUsuario, SenhaHash, DataCadastro, Ativo) SELECT "&amp;"'"&amp;SUBSTITUTE($A19,"'","''")&amp;"'"&amp;", "&amp;"'"&amp;SUBSTITUTE($B19,"'","''")&amp;"'"&amp;", "&amp;"'"&amp;SUBSTITUTE($C19,"'","''")&amp;"'"&amp;", HASHBYTES('SHA2_512', "&amp;"'"&amp;SUBSTITUTE($D19,"'","''")&amp;"'"&amp;"), "&amp;IF($E19="","SYSDATETIME()","'"&amp;SUBSTITUTE($E19,"'","''")&amp;"'")&amp;", "&amp;IF($F19="","1",$F19)&amp;" WHERE NOT EXISTS (SELECT 1 FROM Usuario WHERE NomeUsuario = "&amp;"'"&amp;SUBSTITUTE($A19,"'","''")&amp;"'"&amp;" OR Email = "&amp;"'"&amp;SUBSTITUTE($B19,"'","''")&amp;"'"&amp;");")</f>
        <v/>
      </c>
    </row>
    <row r="20" customFormat="false" ht="15" hidden="false" customHeight="false" outlineLevel="0" collapsed="false">
      <c r="A20" s="26"/>
      <c r="B20" s="26"/>
      <c r="C20" s="26"/>
      <c r="D20" s="26"/>
      <c r="E20" s="28"/>
      <c r="F20" s="26"/>
      <c r="H20" s="25" t="str">
        <f aca="false">IF($A20="","","INSERT INTO Usuario (NomeUsuario, Email, TipoUsuario, SenhaHash, DataCadastro, Ativo) SELECT "&amp;"'"&amp;SUBSTITUTE($A20,"'","''")&amp;"'"&amp;", "&amp;"'"&amp;SUBSTITUTE($B20,"'","''")&amp;"'"&amp;", "&amp;"'"&amp;SUBSTITUTE($C20,"'","''")&amp;"'"&amp;", HASHBYTES('SHA2_512', "&amp;"'"&amp;SUBSTITUTE($D20,"'","''")&amp;"'"&amp;"), "&amp;IF($E20="","SYSDATETIME()","'"&amp;SUBSTITUTE($E20,"'","''")&amp;"'")&amp;", "&amp;IF($F20="","1",$F20)&amp;" WHERE NOT EXISTS (SELECT 1 FROM Usuario WHERE NomeUsuario = "&amp;"'"&amp;SUBSTITUTE($A20,"'","''")&amp;"'"&amp;" OR Email = "&amp;"'"&amp;SUBSTITUTE($B20,"'","''")&amp;"'"&amp;");")</f>
        <v/>
      </c>
    </row>
    <row r="21" customFormat="false" ht="15" hidden="false" customHeight="false" outlineLevel="0" collapsed="false">
      <c r="A21" s="26"/>
      <c r="B21" s="26"/>
      <c r="C21" s="26"/>
      <c r="D21" s="26"/>
      <c r="E21" s="28"/>
      <c r="F21" s="26"/>
      <c r="H21" s="25" t="str">
        <f aca="false">IF($A21="","","INSERT INTO Usuario (NomeUsuario, Email, TipoUsuario, SenhaHash, DataCadastro, Ativo) SELECT "&amp;"'"&amp;SUBSTITUTE($A21,"'","''")&amp;"'"&amp;", "&amp;"'"&amp;SUBSTITUTE($B21,"'","''")&amp;"'"&amp;", "&amp;"'"&amp;SUBSTITUTE($C21,"'","''")&amp;"'"&amp;", HASHBYTES('SHA2_512', "&amp;"'"&amp;SUBSTITUTE($D21,"'","''")&amp;"'"&amp;"), "&amp;IF($E21="","SYSDATETIME()","'"&amp;SUBSTITUTE($E21,"'","''")&amp;"'")&amp;", "&amp;IF($F21="","1",$F21)&amp;" WHERE NOT EXISTS (SELECT 1 FROM Usuario WHERE NomeUsuario = "&amp;"'"&amp;SUBSTITUTE($A21,"'","''")&amp;"'"&amp;" OR Email = "&amp;"'"&amp;SUBSTITUTE($B21,"'","''")&amp;"'"&amp;");")</f>
        <v/>
      </c>
    </row>
    <row r="22" customFormat="false" ht="15" hidden="false" customHeight="false" outlineLevel="0" collapsed="false">
      <c r="A22" s="26"/>
      <c r="B22" s="26"/>
      <c r="C22" s="26"/>
      <c r="D22" s="26"/>
      <c r="E22" s="28"/>
      <c r="F22" s="26"/>
      <c r="H22" s="25" t="str">
        <f aca="false">IF($A22="","","INSERT INTO Usuario (NomeUsuario, Email, TipoUsuario, SenhaHash, DataCadastro, Ativo) SELECT "&amp;"'"&amp;SUBSTITUTE($A22,"'","''")&amp;"'"&amp;", "&amp;"'"&amp;SUBSTITUTE($B22,"'","''")&amp;"'"&amp;", "&amp;"'"&amp;SUBSTITUTE($C22,"'","''")&amp;"'"&amp;", HASHBYTES('SHA2_512', "&amp;"'"&amp;SUBSTITUTE($D22,"'","''")&amp;"'"&amp;"), "&amp;IF($E22="","SYSDATETIME()","'"&amp;SUBSTITUTE($E22,"'","''")&amp;"'")&amp;", "&amp;IF($F22="","1",$F22)&amp;" WHERE NOT EXISTS (SELECT 1 FROM Usuario WHERE NomeUsuario = "&amp;"'"&amp;SUBSTITUTE($A22,"'","''")&amp;"'"&amp;" OR Email = "&amp;"'"&amp;SUBSTITUTE($B22,"'","''")&amp;"'"&amp;");")</f>
        <v/>
      </c>
    </row>
    <row r="23" customFormat="false" ht="15" hidden="false" customHeight="false" outlineLevel="0" collapsed="false">
      <c r="A23" s="26"/>
      <c r="B23" s="26"/>
      <c r="C23" s="26"/>
      <c r="D23" s="26"/>
      <c r="E23" s="28"/>
      <c r="F23" s="26"/>
      <c r="H23" s="25" t="str">
        <f aca="false">IF($A23="","","INSERT INTO Usuario (NomeUsuario, Email, TipoUsuario, SenhaHash, DataCadastro, Ativo) SELECT "&amp;"'"&amp;SUBSTITUTE($A23,"'","''")&amp;"'"&amp;", "&amp;"'"&amp;SUBSTITUTE($B23,"'","''")&amp;"'"&amp;", "&amp;"'"&amp;SUBSTITUTE($C23,"'","''")&amp;"'"&amp;", HASHBYTES('SHA2_512', "&amp;"'"&amp;SUBSTITUTE($D23,"'","''")&amp;"'"&amp;"), "&amp;IF($E23="","SYSDATETIME()","'"&amp;SUBSTITUTE($E23,"'","''")&amp;"'")&amp;", "&amp;IF($F23="","1",$F23)&amp;" WHERE NOT EXISTS (SELECT 1 FROM Usuario WHERE NomeUsuario = "&amp;"'"&amp;SUBSTITUTE($A23,"'","''")&amp;"'"&amp;" OR Email = "&amp;"'"&amp;SUBSTITUTE($B23,"'","''")&amp;"'"&amp;");")</f>
        <v/>
      </c>
    </row>
    <row r="24" customFormat="false" ht="15" hidden="false" customHeight="false" outlineLevel="0" collapsed="false">
      <c r="A24" s="26"/>
      <c r="B24" s="26"/>
      <c r="C24" s="26"/>
      <c r="D24" s="26"/>
      <c r="E24" s="28"/>
      <c r="F24" s="26"/>
      <c r="H24" s="25" t="str">
        <f aca="false">IF($A24="","","INSERT INTO Usuario (NomeUsuario, Email, TipoUsuario, SenhaHash, DataCadastro, Ativo) SELECT "&amp;"'"&amp;SUBSTITUTE($A24,"'","''")&amp;"'"&amp;", "&amp;"'"&amp;SUBSTITUTE($B24,"'","''")&amp;"'"&amp;", "&amp;"'"&amp;SUBSTITUTE($C24,"'","''")&amp;"'"&amp;", HASHBYTES('SHA2_512', "&amp;"'"&amp;SUBSTITUTE($D24,"'","''")&amp;"'"&amp;"), "&amp;IF($E24="","SYSDATETIME()","'"&amp;SUBSTITUTE($E24,"'","''")&amp;"'")&amp;", "&amp;IF($F24="","1",$F24)&amp;" WHERE NOT EXISTS (SELECT 1 FROM Usuario WHERE NomeUsuario = "&amp;"'"&amp;SUBSTITUTE($A24,"'","''")&amp;"'"&amp;" OR Email = "&amp;"'"&amp;SUBSTITUTE($B24,"'","''")&amp;"'"&amp;");")</f>
        <v/>
      </c>
    </row>
    <row r="25" customFormat="false" ht="15" hidden="false" customHeight="false" outlineLevel="0" collapsed="false">
      <c r="A25" s="26"/>
      <c r="B25" s="26"/>
      <c r="C25" s="26"/>
      <c r="D25" s="26"/>
      <c r="E25" s="28"/>
      <c r="F25" s="26"/>
      <c r="H25" s="25" t="str">
        <f aca="false">IF($A25="","","INSERT INTO Usuario (NomeUsuario, Email, TipoUsuario, SenhaHash, DataCadastro, Ativo) SELECT "&amp;"'"&amp;SUBSTITUTE($A25,"'","''")&amp;"'"&amp;", "&amp;"'"&amp;SUBSTITUTE($B25,"'","''")&amp;"'"&amp;", "&amp;"'"&amp;SUBSTITUTE($C25,"'","''")&amp;"'"&amp;", HASHBYTES('SHA2_512', "&amp;"'"&amp;SUBSTITUTE($D25,"'","''")&amp;"'"&amp;"), "&amp;IF($E25="","SYSDATETIME()","'"&amp;SUBSTITUTE($E25,"'","''")&amp;"'")&amp;", "&amp;IF($F25="","1",$F25)&amp;" WHERE NOT EXISTS (SELECT 1 FROM Usuario WHERE NomeUsuario = "&amp;"'"&amp;SUBSTITUTE($A25,"'","''")&amp;"'"&amp;" OR Email = "&amp;"'"&amp;SUBSTITUTE($B25,"'","''")&amp;"'"&amp;");")</f>
        <v/>
      </c>
    </row>
    <row r="26" customFormat="false" ht="15" hidden="false" customHeight="false" outlineLevel="0" collapsed="false">
      <c r="A26" s="26"/>
      <c r="B26" s="26"/>
      <c r="C26" s="26"/>
      <c r="D26" s="26"/>
      <c r="E26" s="28"/>
      <c r="F26" s="26"/>
      <c r="H26" s="25" t="str">
        <f aca="false">IF($A26="","","INSERT INTO Usuario (NomeUsuario, Email, TipoUsuario, SenhaHash, DataCadastro, Ativo) SELECT "&amp;"'"&amp;SUBSTITUTE($A26,"'","''")&amp;"'"&amp;", "&amp;"'"&amp;SUBSTITUTE($B26,"'","''")&amp;"'"&amp;", "&amp;"'"&amp;SUBSTITUTE($C26,"'","''")&amp;"'"&amp;", HASHBYTES('SHA2_512', "&amp;"'"&amp;SUBSTITUTE($D26,"'","''")&amp;"'"&amp;"), "&amp;IF($E26="","SYSDATETIME()","'"&amp;SUBSTITUTE($E26,"'","''")&amp;"'")&amp;", "&amp;IF($F26="","1",$F26)&amp;" WHERE NOT EXISTS (SELECT 1 FROM Usuario WHERE NomeUsuario = "&amp;"'"&amp;SUBSTITUTE($A26,"'","''")&amp;"'"&amp;" OR Email = "&amp;"'"&amp;SUBSTITUTE($B26,"'","''")&amp;"'"&amp;");")</f>
        <v/>
      </c>
    </row>
    <row r="27" customFormat="false" ht="15" hidden="false" customHeight="false" outlineLevel="0" collapsed="false">
      <c r="A27" s="26"/>
      <c r="B27" s="26"/>
      <c r="C27" s="26"/>
      <c r="D27" s="26"/>
      <c r="E27" s="28"/>
      <c r="F27" s="26"/>
      <c r="H27" s="25" t="str">
        <f aca="false">IF($A27="","","INSERT INTO Usuario (NomeUsuario, Email, TipoUsuario, SenhaHash, DataCadastro, Ativo) SELECT "&amp;"'"&amp;SUBSTITUTE($A27,"'","''")&amp;"'"&amp;", "&amp;"'"&amp;SUBSTITUTE($B27,"'","''")&amp;"'"&amp;", "&amp;"'"&amp;SUBSTITUTE($C27,"'","''")&amp;"'"&amp;", HASHBYTES('SHA2_512', "&amp;"'"&amp;SUBSTITUTE($D27,"'","''")&amp;"'"&amp;"), "&amp;IF($E27="","SYSDATETIME()","'"&amp;SUBSTITUTE($E27,"'","''")&amp;"'")&amp;", "&amp;IF($F27="","1",$F27)&amp;" WHERE NOT EXISTS (SELECT 1 FROM Usuario WHERE NomeUsuario = "&amp;"'"&amp;SUBSTITUTE($A27,"'","''")&amp;"'"&amp;" OR Email = "&amp;"'"&amp;SUBSTITUTE($B27,"'","''")&amp;"'"&amp;");")</f>
        <v/>
      </c>
    </row>
    <row r="28" customFormat="false" ht="15" hidden="false" customHeight="false" outlineLevel="0" collapsed="false">
      <c r="A28" s="26"/>
      <c r="B28" s="26"/>
      <c r="C28" s="26"/>
      <c r="D28" s="26"/>
      <c r="E28" s="28"/>
      <c r="F28" s="26"/>
      <c r="H28" s="25" t="str">
        <f aca="false">IF($A28="","","INSERT INTO Usuario (NomeUsuario, Email, TipoUsuario, SenhaHash, DataCadastro, Ativo) SELECT "&amp;"'"&amp;SUBSTITUTE($A28,"'","''")&amp;"'"&amp;", "&amp;"'"&amp;SUBSTITUTE($B28,"'","''")&amp;"'"&amp;", "&amp;"'"&amp;SUBSTITUTE($C28,"'","''")&amp;"'"&amp;", HASHBYTES('SHA2_512', "&amp;"'"&amp;SUBSTITUTE($D28,"'","''")&amp;"'"&amp;"), "&amp;IF($E28="","SYSDATETIME()","'"&amp;SUBSTITUTE($E28,"'","''")&amp;"'")&amp;", "&amp;IF($F28="","1",$F28)&amp;" WHERE NOT EXISTS (SELECT 1 FROM Usuario WHERE NomeUsuario = "&amp;"'"&amp;SUBSTITUTE($A28,"'","''")&amp;"'"&amp;" OR Email = "&amp;"'"&amp;SUBSTITUTE($B28,"'","''")&amp;"'"&amp;");")</f>
        <v/>
      </c>
    </row>
    <row r="29" customFormat="false" ht="15" hidden="false" customHeight="false" outlineLevel="0" collapsed="false">
      <c r="A29" s="26"/>
      <c r="B29" s="26"/>
      <c r="C29" s="26"/>
      <c r="D29" s="26"/>
      <c r="E29" s="28"/>
      <c r="F29" s="26"/>
      <c r="H29" s="25" t="str">
        <f aca="false">IF($A29="","","INSERT INTO Usuario (NomeUsuario, Email, TipoUsuario, SenhaHash, DataCadastro, Ativo) SELECT "&amp;"'"&amp;SUBSTITUTE($A29,"'","''")&amp;"'"&amp;", "&amp;"'"&amp;SUBSTITUTE($B29,"'","''")&amp;"'"&amp;", "&amp;"'"&amp;SUBSTITUTE($C29,"'","''")&amp;"'"&amp;", HASHBYTES('SHA2_512', "&amp;"'"&amp;SUBSTITUTE($D29,"'","''")&amp;"'"&amp;"), "&amp;IF($E29="","SYSDATETIME()","'"&amp;SUBSTITUTE($E29,"'","''")&amp;"'")&amp;", "&amp;IF($F29="","1",$F29)&amp;" WHERE NOT EXISTS (SELECT 1 FROM Usuario WHERE NomeUsuario = "&amp;"'"&amp;SUBSTITUTE($A29,"'","''")&amp;"'"&amp;" OR Email = "&amp;"'"&amp;SUBSTITUTE($B29,"'","''")&amp;"'"&amp;");")</f>
        <v/>
      </c>
    </row>
    <row r="30" customFormat="false" ht="15" hidden="false" customHeight="false" outlineLevel="0" collapsed="false">
      <c r="A30" s="26"/>
      <c r="B30" s="26"/>
      <c r="C30" s="26"/>
      <c r="D30" s="26"/>
      <c r="E30" s="28"/>
      <c r="F30" s="26"/>
      <c r="H30" s="25" t="str">
        <f aca="false">IF($A30="","","INSERT INTO Usuario (NomeUsuario, Email, TipoUsuario, SenhaHash, DataCadastro, Ativo) SELECT "&amp;"'"&amp;SUBSTITUTE($A30,"'","''")&amp;"'"&amp;", "&amp;"'"&amp;SUBSTITUTE($B30,"'","''")&amp;"'"&amp;", "&amp;"'"&amp;SUBSTITUTE($C30,"'","''")&amp;"'"&amp;", HASHBYTES('SHA2_512', "&amp;"'"&amp;SUBSTITUTE($D30,"'","''")&amp;"'"&amp;"), "&amp;IF($E30="","SYSDATETIME()","'"&amp;SUBSTITUTE($E30,"'","''")&amp;"'")&amp;", "&amp;IF($F30="","1",$F30)&amp;" WHERE NOT EXISTS (SELECT 1 FROM Usuario WHERE NomeUsuario = "&amp;"'"&amp;SUBSTITUTE($A30,"'","''")&amp;"'"&amp;" OR Email = "&amp;"'"&amp;SUBSTITUTE($B30,"'","''")&amp;"'"&amp;");")</f>
        <v/>
      </c>
    </row>
    <row r="31" customFormat="false" ht="15" hidden="false" customHeight="false" outlineLevel="0" collapsed="false">
      <c r="A31" s="26"/>
      <c r="B31" s="26"/>
      <c r="C31" s="26"/>
      <c r="D31" s="26"/>
      <c r="E31" s="28"/>
      <c r="F31" s="26"/>
      <c r="H31" s="25" t="str">
        <f aca="false">IF($A31="","","INSERT INTO Usuario (NomeUsuario, Email, TipoUsuario, SenhaHash, DataCadastro, Ativo) SELECT "&amp;"'"&amp;SUBSTITUTE($A31,"'","''")&amp;"'"&amp;", "&amp;"'"&amp;SUBSTITUTE($B31,"'","''")&amp;"'"&amp;", "&amp;"'"&amp;SUBSTITUTE($C31,"'","''")&amp;"'"&amp;", HASHBYTES('SHA2_512', "&amp;"'"&amp;SUBSTITUTE($D31,"'","''")&amp;"'"&amp;"), "&amp;IF($E31="","SYSDATETIME()","'"&amp;SUBSTITUTE($E31,"'","''")&amp;"'")&amp;", "&amp;IF($F31="","1",$F31)&amp;" WHERE NOT EXISTS (SELECT 1 FROM Usuario WHERE NomeUsuario = "&amp;"'"&amp;SUBSTITUTE($A31,"'","''")&amp;"'"&amp;" OR Email = "&amp;"'"&amp;SUBSTITUTE($B31,"'","''")&amp;"'"&amp;");")</f>
        <v/>
      </c>
    </row>
    <row r="32" customFormat="false" ht="15" hidden="false" customHeight="false" outlineLevel="0" collapsed="false">
      <c r="A32" s="26"/>
      <c r="B32" s="26"/>
      <c r="C32" s="26"/>
      <c r="D32" s="26"/>
      <c r="E32" s="28"/>
      <c r="F32" s="26"/>
      <c r="H32" s="25" t="str">
        <f aca="false">IF($A32="","","INSERT INTO Usuario (NomeUsuario, Email, TipoUsuario, SenhaHash, DataCadastro, Ativo) SELECT "&amp;"'"&amp;SUBSTITUTE($A32,"'","''")&amp;"'"&amp;", "&amp;"'"&amp;SUBSTITUTE($B32,"'","''")&amp;"'"&amp;", "&amp;"'"&amp;SUBSTITUTE($C32,"'","''")&amp;"'"&amp;", HASHBYTES('SHA2_512', "&amp;"'"&amp;SUBSTITUTE($D32,"'","''")&amp;"'"&amp;"), "&amp;IF($E32="","SYSDATETIME()","'"&amp;SUBSTITUTE($E32,"'","''")&amp;"'")&amp;", "&amp;IF($F32="","1",$F32)&amp;" WHERE NOT EXISTS (SELECT 1 FROM Usuario WHERE NomeUsuario = "&amp;"'"&amp;SUBSTITUTE($A32,"'","''")&amp;"'"&amp;" OR Email = "&amp;"'"&amp;SUBSTITUTE($B32,"'","''")&amp;"'"&amp;");")</f>
        <v/>
      </c>
    </row>
    <row r="33" customFormat="false" ht="15" hidden="false" customHeight="false" outlineLevel="0" collapsed="false">
      <c r="A33" s="26"/>
      <c r="B33" s="26"/>
      <c r="C33" s="26"/>
      <c r="D33" s="26"/>
      <c r="E33" s="28"/>
      <c r="F33" s="26"/>
      <c r="H33" s="25" t="str">
        <f aca="false">IF($A33="","","INSERT INTO Usuario (NomeUsuario, Email, TipoUsuario, SenhaHash, DataCadastro, Ativo) SELECT "&amp;"'"&amp;SUBSTITUTE($A33,"'","''")&amp;"'"&amp;", "&amp;"'"&amp;SUBSTITUTE($B33,"'","''")&amp;"'"&amp;", "&amp;"'"&amp;SUBSTITUTE($C33,"'","''")&amp;"'"&amp;", HASHBYTES('SHA2_512', "&amp;"'"&amp;SUBSTITUTE($D33,"'","''")&amp;"'"&amp;"), "&amp;IF($E33="","SYSDATETIME()","'"&amp;SUBSTITUTE($E33,"'","''")&amp;"'")&amp;", "&amp;IF($F33="","1",$F33)&amp;" WHERE NOT EXISTS (SELECT 1 FROM Usuario WHERE NomeUsuario = "&amp;"'"&amp;SUBSTITUTE($A33,"'","''")&amp;"'"&amp;" OR Email = "&amp;"'"&amp;SUBSTITUTE($B33,"'","''")&amp;"'"&amp;");")</f>
        <v/>
      </c>
    </row>
    <row r="34" customFormat="false" ht="15" hidden="false" customHeight="false" outlineLevel="0" collapsed="false">
      <c r="A34" s="26"/>
      <c r="B34" s="26"/>
      <c r="C34" s="26"/>
      <c r="D34" s="26"/>
      <c r="E34" s="28"/>
      <c r="F34" s="26"/>
      <c r="H34" s="25" t="str">
        <f aca="false">IF($A34="","","INSERT INTO Usuario (NomeUsuario, Email, TipoUsuario, SenhaHash, DataCadastro, Ativo) SELECT "&amp;"'"&amp;SUBSTITUTE($A34,"'","''")&amp;"'"&amp;", "&amp;"'"&amp;SUBSTITUTE($B34,"'","''")&amp;"'"&amp;", "&amp;"'"&amp;SUBSTITUTE($C34,"'","''")&amp;"'"&amp;", HASHBYTES('SHA2_512', "&amp;"'"&amp;SUBSTITUTE($D34,"'","''")&amp;"'"&amp;"), "&amp;IF($E34="","SYSDATETIME()","'"&amp;SUBSTITUTE($E34,"'","''")&amp;"'")&amp;", "&amp;IF($F34="","1",$F34)&amp;" WHERE NOT EXISTS (SELECT 1 FROM Usuario WHERE NomeUsuario = "&amp;"'"&amp;SUBSTITUTE($A34,"'","''")&amp;"'"&amp;" OR Email = "&amp;"'"&amp;SUBSTITUTE($B34,"'","''")&amp;"'"&amp;");")</f>
        <v/>
      </c>
    </row>
    <row r="35" customFormat="false" ht="15" hidden="false" customHeight="false" outlineLevel="0" collapsed="false">
      <c r="A35" s="26"/>
      <c r="B35" s="26"/>
      <c r="C35" s="26"/>
      <c r="D35" s="26"/>
      <c r="E35" s="28"/>
      <c r="F35" s="26"/>
      <c r="H35" s="25" t="str">
        <f aca="false">IF($A35="","","INSERT INTO Usuario (NomeUsuario, Email, TipoUsuario, SenhaHash, DataCadastro, Ativo) SELECT "&amp;"'"&amp;SUBSTITUTE($A35,"'","''")&amp;"'"&amp;", "&amp;"'"&amp;SUBSTITUTE($B35,"'","''")&amp;"'"&amp;", "&amp;"'"&amp;SUBSTITUTE($C35,"'","''")&amp;"'"&amp;", HASHBYTES('SHA2_512', "&amp;"'"&amp;SUBSTITUTE($D35,"'","''")&amp;"'"&amp;"), "&amp;IF($E35="","SYSDATETIME()","'"&amp;SUBSTITUTE($E35,"'","''")&amp;"'")&amp;", "&amp;IF($F35="","1",$F35)&amp;" WHERE NOT EXISTS (SELECT 1 FROM Usuario WHERE NomeUsuario = "&amp;"'"&amp;SUBSTITUTE($A35,"'","''")&amp;"'"&amp;" OR Email = "&amp;"'"&amp;SUBSTITUTE($B35,"'","''")&amp;"'"&amp;");")</f>
        <v/>
      </c>
    </row>
    <row r="36" customFormat="false" ht="15" hidden="false" customHeight="false" outlineLevel="0" collapsed="false">
      <c r="A36" s="26"/>
      <c r="B36" s="26"/>
      <c r="C36" s="26"/>
      <c r="D36" s="26"/>
      <c r="E36" s="28"/>
      <c r="F36" s="26"/>
      <c r="H36" s="25" t="str">
        <f aca="false">IF($A36="","","INSERT INTO Usuario (NomeUsuario, Email, TipoUsuario, SenhaHash, DataCadastro, Ativo) SELECT "&amp;"'"&amp;SUBSTITUTE($A36,"'","''")&amp;"'"&amp;", "&amp;"'"&amp;SUBSTITUTE($B36,"'","''")&amp;"'"&amp;", "&amp;"'"&amp;SUBSTITUTE($C36,"'","''")&amp;"'"&amp;", HASHBYTES('SHA2_512', "&amp;"'"&amp;SUBSTITUTE($D36,"'","''")&amp;"'"&amp;"), "&amp;IF($E36="","SYSDATETIME()","'"&amp;SUBSTITUTE($E36,"'","''")&amp;"'")&amp;", "&amp;IF($F36="","1",$F36)&amp;" WHERE NOT EXISTS (SELECT 1 FROM Usuario WHERE NomeUsuario = "&amp;"'"&amp;SUBSTITUTE($A36,"'","''")&amp;"'"&amp;" OR Email = "&amp;"'"&amp;SUBSTITUTE($B36,"'","''")&amp;"'"&amp;");")</f>
        <v/>
      </c>
    </row>
    <row r="37" customFormat="false" ht="15" hidden="false" customHeight="false" outlineLevel="0" collapsed="false">
      <c r="A37" s="26"/>
      <c r="B37" s="26"/>
      <c r="C37" s="26"/>
      <c r="D37" s="26"/>
      <c r="E37" s="28"/>
      <c r="F37" s="26"/>
      <c r="H37" s="25" t="str">
        <f aca="false">IF($A37="","","INSERT INTO Usuario (NomeUsuario, Email, TipoUsuario, SenhaHash, DataCadastro, Ativo) SELECT "&amp;"'"&amp;SUBSTITUTE($A37,"'","''")&amp;"'"&amp;", "&amp;"'"&amp;SUBSTITUTE($B37,"'","''")&amp;"'"&amp;", "&amp;"'"&amp;SUBSTITUTE($C37,"'","''")&amp;"'"&amp;", HASHBYTES('SHA2_512', "&amp;"'"&amp;SUBSTITUTE($D37,"'","''")&amp;"'"&amp;"), "&amp;IF($E37="","SYSDATETIME()","'"&amp;SUBSTITUTE($E37,"'","''")&amp;"'")&amp;", "&amp;IF($F37="","1",$F37)&amp;" WHERE NOT EXISTS (SELECT 1 FROM Usuario WHERE NomeUsuario = "&amp;"'"&amp;SUBSTITUTE($A37,"'","''")&amp;"'"&amp;" OR Email = "&amp;"'"&amp;SUBSTITUTE($B37,"'","''")&amp;"'"&amp;");")</f>
        <v/>
      </c>
    </row>
    <row r="38" customFormat="false" ht="15" hidden="false" customHeight="false" outlineLevel="0" collapsed="false">
      <c r="A38" s="26"/>
      <c r="B38" s="26"/>
      <c r="C38" s="26"/>
      <c r="D38" s="26"/>
      <c r="E38" s="28"/>
      <c r="F38" s="26"/>
      <c r="H38" s="25" t="str">
        <f aca="false">IF($A38="","","INSERT INTO Usuario (NomeUsuario, Email, TipoUsuario, SenhaHash, DataCadastro, Ativo) SELECT "&amp;"'"&amp;SUBSTITUTE($A38,"'","''")&amp;"'"&amp;", "&amp;"'"&amp;SUBSTITUTE($B38,"'","''")&amp;"'"&amp;", "&amp;"'"&amp;SUBSTITUTE($C38,"'","''")&amp;"'"&amp;", HASHBYTES('SHA2_512', "&amp;"'"&amp;SUBSTITUTE($D38,"'","''")&amp;"'"&amp;"), "&amp;IF($E38="","SYSDATETIME()","'"&amp;SUBSTITUTE($E38,"'","''")&amp;"'")&amp;", "&amp;IF($F38="","1",$F38)&amp;" WHERE NOT EXISTS (SELECT 1 FROM Usuario WHERE NomeUsuario = "&amp;"'"&amp;SUBSTITUTE($A38,"'","''")&amp;"'"&amp;" OR Email = "&amp;"'"&amp;SUBSTITUTE($B38,"'","''")&amp;"'"&amp;");")</f>
        <v/>
      </c>
    </row>
    <row r="39" customFormat="false" ht="15" hidden="false" customHeight="false" outlineLevel="0" collapsed="false">
      <c r="A39" s="26"/>
      <c r="B39" s="26"/>
      <c r="C39" s="26"/>
      <c r="D39" s="26"/>
      <c r="E39" s="28"/>
      <c r="F39" s="26"/>
      <c r="H39" s="25" t="str">
        <f aca="false">IF($A39="","","INSERT INTO Usuario (NomeUsuario, Email, TipoUsuario, SenhaHash, DataCadastro, Ativo) SELECT "&amp;"'"&amp;SUBSTITUTE($A39,"'","''")&amp;"'"&amp;", "&amp;"'"&amp;SUBSTITUTE($B39,"'","''")&amp;"'"&amp;", "&amp;"'"&amp;SUBSTITUTE($C39,"'","''")&amp;"'"&amp;", HASHBYTES('SHA2_512', "&amp;"'"&amp;SUBSTITUTE($D39,"'","''")&amp;"'"&amp;"), "&amp;IF($E39="","SYSDATETIME()","'"&amp;SUBSTITUTE($E39,"'","''")&amp;"'")&amp;", "&amp;IF($F39="","1",$F39)&amp;" WHERE NOT EXISTS (SELECT 1 FROM Usuario WHERE NomeUsuario = "&amp;"'"&amp;SUBSTITUTE($A39,"'","''")&amp;"'"&amp;" OR Email = "&amp;"'"&amp;SUBSTITUTE($B39,"'","''")&amp;"'"&amp;");")</f>
        <v/>
      </c>
    </row>
    <row r="40" customFormat="false" ht="15" hidden="false" customHeight="false" outlineLevel="0" collapsed="false">
      <c r="A40" s="26"/>
      <c r="B40" s="26"/>
      <c r="C40" s="26"/>
      <c r="D40" s="26"/>
      <c r="E40" s="28"/>
      <c r="F40" s="26"/>
      <c r="H40" s="25" t="str">
        <f aca="false">IF($A40="","","INSERT INTO Usuario (NomeUsuario, Email, TipoUsuario, SenhaHash, DataCadastro, Ativo) SELECT "&amp;"'"&amp;SUBSTITUTE($A40,"'","''")&amp;"'"&amp;", "&amp;"'"&amp;SUBSTITUTE($B40,"'","''")&amp;"'"&amp;", "&amp;"'"&amp;SUBSTITUTE($C40,"'","''")&amp;"'"&amp;", HASHBYTES('SHA2_512', "&amp;"'"&amp;SUBSTITUTE($D40,"'","''")&amp;"'"&amp;"), "&amp;IF($E40="","SYSDATETIME()","'"&amp;SUBSTITUTE($E40,"'","''")&amp;"'")&amp;", "&amp;IF($F40="","1",$F40)&amp;" WHERE NOT EXISTS (SELECT 1 FROM Usuario WHERE NomeUsuario = "&amp;"'"&amp;SUBSTITUTE($A40,"'","''")&amp;"'"&amp;" OR Email = "&amp;"'"&amp;SUBSTITUTE($B40,"'","''")&amp;"'"&amp;");")</f>
        <v/>
      </c>
    </row>
    <row r="41" customFormat="false" ht="15" hidden="false" customHeight="false" outlineLevel="0" collapsed="false">
      <c r="A41" s="26"/>
      <c r="B41" s="26"/>
      <c r="C41" s="26"/>
      <c r="D41" s="26"/>
      <c r="E41" s="28"/>
      <c r="F41" s="26"/>
      <c r="H41" s="25" t="str">
        <f aca="false">IF($A41="","","INSERT INTO Usuario (NomeUsuario, Email, TipoUsuario, SenhaHash, DataCadastro, Ativo) SELECT "&amp;"'"&amp;SUBSTITUTE($A41,"'","''")&amp;"'"&amp;", "&amp;"'"&amp;SUBSTITUTE($B41,"'","''")&amp;"'"&amp;", "&amp;"'"&amp;SUBSTITUTE($C41,"'","''")&amp;"'"&amp;", HASHBYTES('SHA2_512', "&amp;"'"&amp;SUBSTITUTE($D41,"'","''")&amp;"'"&amp;"), "&amp;IF($E41="","SYSDATETIME()","'"&amp;SUBSTITUTE($E41,"'","''")&amp;"'")&amp;", "&amp;IF($F41="","1",$F41)&amp;" WHERE NOT EXISTS (SELECT 1 FROM Usuario WHERE NomeUsuario = "&amp;"'"&amp;SUBSTITUTE($A41,"'","''")&amp;"'"&amp;" OR Email = "&amp;"'"&amp;SUBSTITUTE($B41,"'","''")&amp;"'"&amp;");")</f>
        <v/>
      </c>
    </row>
    <row r="42" customFormat="false" ht="15" hidden="false" customHeight="false" outlineLevel="0" collapsed="false">
      <c r="A42" s="26"/>
      <c r="B42" s="26"/>
      <c r="C42" s="26"/>
      <c r="D42" s="26"/>
      <c r="E42" s="28"/>
      <c r="F42" s="26"/>
      <c r="H42" s="25" t="str">
        <f aca="false">IF($A42="","","INSERT INTO Usuario (NomeUsuario, Email, TipoUsuario, SenhaHash, DataCadastro, Ativo) SELECT "&amp;"'"&amp;SUBSTITUTE($A42,"'","''")&amp;"'"&amp;", "&amp;"'"&amp;SUBSTITUTE($B42,"'","''")&amp;"'"&amp;", "&amp;"'"&amp;SUBSTITUTE($C42,"'","''")&amp;"'"&amp;", HASHBYTES('SHA2_512', "&amp;"'"&amp;SUBSTITUTE($D42,"'","''")&amp;"'"&amp;"), "&amp;IF($E42="","SYSDATETIME()","'"&amp;SUBSTITUTE($E42,"'","''")&amp;"'")&amp;", "&amp;IF($F42="","1",$F42)&amp;" WHERE NOT EXISTS (SELECT 1 FROM Usuario WHERE NomeUsuario = "&amp;"'"&amp;SUBSTITUTE($A42,"'","''")&amp;"'"&amp;" OR Email = "&amp;"'"&amp;SUBSTITUTE($B42,"'","''")&amp;"'"&amp;");")</f>
        <v/>
      </c>
    </row>
    <row r="43" customFormat="false" ht="15" hidden="false" customHeight="false" outlineLevel="0" collapsed="false">
      <c r="A43" s="26"/>
      <c r="B43" s="26"/>
      <c r="C43" s="26"/>
      <c r="D43" s="26"/>
      <c r="E43" s="28"/>
      <c r="F43" s="26"/>
      <c r="H43" s="25" t="str">
        <f aca="false">IF($A43="","","INSERT INTO Usuario (NomeUsuario, Email, TipoUsuario, SenhaHash, DataCadastro, Ativo) SELECT "&amp;"'"&amp;SUBSTITUTE($A43,"'","''")&amp;"'"&amp;", "&amp;"'"&amp;SUBSTITUTE($B43,"'","''")&amp;"'"&amp;", "&amp;"'"&amp;SUBSTITUTE($C43,"'","''")&amp;"'"&amp;", HASHBYTES('SHA2_512', "&amp;"'"&amp;SUBSTITUTE($D43,"'","''")&amp;"'"&amp;"), "&amp;IF($E43="","SYSDATETIME()","'"&amp;SUBSTITUTE($E43,"'","''")&amp;"'")&amp;", "&amp;IF($F43="","1",$F43)&amp;" WHERE NOT EXISTS (SELECT 1 FROM Usuario WHERE NomeUsuario = "&amp;"'"&amp;SUBSTITUTE($A43,"'","''")&amp;"'"&amp;" OR Email = "&amp;"'"&amp;SUBSTITUTE($B43,"'","''")&amp;"'"&amp;");")</f>
        <v/>
      </c>
    </row>
    <row r="44" customFormat="false" ht="15" hidden="false" customHeight="false" outlineLevel="0" collapsed="false">
      <c r="A44" s="26"/>
      <c r="B44" s="26"/>
      <c r="C44" s="26"/>
      <c r="D44" s="26"/>
      <c r="E44" s="28"/>
      <c r="F44" s="26"/>
      <c r="H44" s="25" t="str">
        <f aca="false">IF($A44="","","INSERT INTO Usuario (NomeUsuario, Email, TipoUsuario, SenhaHash, DataCadastro, Ativo) SELECT "&amp;"'"&amp;SUBSTITUTE($A44,"'","''")&amp;"'"&amp;", "&amp;"'"&amp;SUBSTITUTE($B44,"'","''")&amp;"'"&amp;", "&amp;"'"&amp;SUBSTITUTE($C44,"'","''")&amp;"'"&amp;", HASHBYTES('SHA2_512', "&amp;"'"&amp;SUBSTITUTE($D44,"'","''")&amp;"'"&amp;"), "&amp;IF($E44="","SYSDATETIME()","'"&amp;SUBSTITUTE($E44,"'","''")&amp;"'")&amp;", "&amp;IF($F44="","1",$F44)&amp;" WHERE NOT EXISTS (SELECT 1 FROM Usuario WHERE NomeUsuario = "&amp;"'"&amp;SUBSTITUTE($A44,"'","''")&amp;"'"&amp;" OR Email = "&amp;"'"&amp;SUBSTITUTE($B44,"'","''")&amp;"'"&amp;");")</f>
        <v/>
      </c>
    </row>
    <row r="45" customFormat="false" ht="15" hidden="false" customHeight="false" outlineLevel="0" collapsed="false">
      <c r="A45" s="26"/>
      <c r="B45" s="26"/>
      <c r="C45" s="26"/>
      <c r="D45" s="26"/>
      <c r="E45" s="28"/>
      <c r="F45" s="26"/>
      <c r="H45" s="25" t="str">
        <f aca="false">IF($A45="","","INSERT INTO Usuario (NomeUsuario, Email, TipoUsuario, SenhaHash, DataCadastro, Ativo) SELECT "&amp;"'"&amp;SUBSTITUTE($A45,"'","''")&amp;"'"&amp;", "&amp;"'"&amp;SUBSTITUTE($B45,"'","''")&amp;"'"&amp;", "&amp;"'"&amp;SUBSTITUTE($C45,"'","''")&amp;"'"&amp;", HASHBYTES('SHA2_512', "&amp;"'"&amp;SUBSTITUTE($D45,"'","''")&amp;"'"&amp;"), "&amp;IF($E45="","SYSDATETIME()","'"&amp;SUBSTITUTE($E45,"'","''")&amp;"'")&amp;", "&amp;IF($F45="","1",$F45)&amp;" WHERE NOT EXISTS (SELECT 1 FROM Usuario WHERE NomeUsuario = "&amp;"'"&amp;SUBSTITUTE($A45,"'","''")&amp;"'"&amp;" OR Email = "&amp;"'"&amp;SUBSTITUTE($B45,"'","''")&amp;"'"&amp;");")</f>
        <v/>
      </c>
    </row>
    <row r="46" customFormat="false" ht="15" hidden="false" customHeight="false" outlineLevel="0" collapsed="false">
      <c r="A46" s="26"/>
      <c r="B46" s="26"/>
      <c r="C46" s="26"/>
      <c r="D46" s="26"/>
      <c r="E46" s="28"/>
      <c r="F46" s="26"/>
      <c r="H46" s="25" t="str">
        <f aca="false">IF($A46="","","INSERT INTO Usuario (NomeUsuario, Email, TipoUsuario, SenhaHash, DataCadastro, Ativo) SELECT "&amp;"'"&amp;SUBSTITUTE($A46,"'","''")&amp;"'"&amp;", "&amp;"'"&amp;SUBSTITUTE($B46,"'","''")&amp;"'"&amp;", "&amp;"'"&amp;SUBSTITUTE($C46,"'","''")&amp;"'"&amp;", HASHBYTES('SHA2_512', "&amp;"'"&amp;SUBSTITUTE($D46,"'","''")&amp;"'"&amp;"), "&amp;IF($E46="","SYSDATETIME()","'"&amp;SUBSTITUTE($E46,"'","''")&amp;"'")&amp;", "&amp;IF($F46="","1",$F46)&amp;" WHERE NOT EXISTS (SELECT 1 FROM Usuario WHERE NomeUsuario = "&amp;"'"&amp;SUBSTITUTE($A46,"'","''")&amp;"'"&amp;" OR Email = "&amp;"'"&amp;SUBSTITUTE($B46,"'","''")&amp;"'"&amp;");")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8"/>
      <c r="F47" s="26"/>
      <c r="H47" s="25" t="str">
        <f aca="false">IF($A47="","","INSERT INTO Usuario (NomeUsuario, Email, TipoUsuario, SenhaHash, DataCadastro, Ativo) SELECT "&amp;"'"&amp;SUBSTITUTE($A47,"'","''")&amp;"'"&amp;", "&amp;"'"&amp;SUBSTITUTE($B47,"'","''")&amp;"'"&amp;", "&amp;"'"&amp;SUBSTITUTE($C47,"'","''")&amp;"'"&amp;", HASHBYTES('SHA2_512', "&amp;"'"&amp;SUBSTITUTE($D47,"'","''")&amp;"'"&amp;"), "&amp;IF($E47="","SYSDATETIME()","'"&amp;SUBSTITUTE($E47,"'","''")&amp;"'")&amp;", "&amp;IF($F47="","1",$F47)&amp;" WHERE NOT EXISTS (SELECT 1 FROM Usuario WHERE NomeUsuario = "&amp;"'"&amp;SUBSTITUTE($A47,"'","''")&amp;"'"&amp;" OR Email = "&amp;"'"&amp;SUBSTITUTE($B47,"'","''")&amp;"'"&amp;");")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8"/>
      <c r="F48" s="26"/>
      <c r="H48" s="25" t="str">
        <f aca="false">IF($A48="","","INSERT INTO Usuario (NomeUsuario, Email, TipoUsuario, SenhaHash, DataCadastro, Ativo) SELECT "&amp;"'"&amp;SUBSTITUTE($A48,"'","''")&amp;"'"&amp;", "&amp;"'"&amp;SUBSTITUTE($B48,"'","''")&amp;"'"&amp;", "&amp;"'"&amp;SUBSTITUTE($C48,"'","''")&amp;"'"&amp;", HASHBYTES('SHA2_512', "&amp;"'"&amp;SUBSTITUTE($D48,"'","''")&amp;"'"&amp;"), "&amp;IF($E48="","SYSDATETIME()","'"&amp;SUBSTITUTE($E48,"'","''")&amp;"'")&amp;", "&amp;IF($F48="","1",$F48)&amp;" WHERE NOT EXISTS (SELECT 1 FROM Usuario WHERE NomeUsuario = "&amp;"'"&amp;SUBSTITUTE($A48,"'","''")&amp;"'"&amp;" OR Email = "&amp;"'"&amp;SUBSTITUTE($B48,"'","''")&amp;"'"&amp;");")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8"/>
      <c r="F49" s="26"/>
      <c r="H49" s="25" t="str">
        <f aca="false">IF($A49="","","INSERT INTO Usuario (NomeUsuario, Email, TipoUsuario, SenhaHash, DataCadastro, Ativo) SELECT "&amp;"'"&amp;SUBSTITUTE($A49,"'","''")&amp;"'"&amp;", "&amp;"'"&amp;SUBSTITUTE($B49,"'","''")&amp;"'"&amp;", "&amp;"'"&amp;SUBSTITUTE($C49,"'","''")&amp;"'"&amp;", HASHBYTES('SHA2_512', "&amp;"'"&amp;SUBSTITUTE($D49,"'","''")&amp;"'"&amp;"), "&amp;IF($E49="","SYSDATETIME()","'"&amp;SUBSTITUTE($E49,"'","''")&amp;"'")&amp;", "&amp;IF($F49="","1",$F49)&amp;" WHERE NOT EXISTS (SELECT 1 FROM Usuario WHERE NomeUsuario = "&amp;"'"&amp;SUBSTITUTE($A49,"'","''")&amp;"'"&amp;" OR Email = "&amp;"'"&amp;SUBSTITUTE($B49,"'","''")&amp;"'"&amp;");")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8"/>
      <c r="F50" s="26"/>
      <c r="H50" s="25" t="str">
        <f aca="false">IF($A50="","","INSERT INTO Usuario (NomeUsuario, Email, TipoUsuario, SenhaHash, DataCadastro, Ativo) SELECT "&amp;"'"&amp;SUBSTITUTE($A50,"'","''")&amp;"'"&amp;", "&amp;"'"&amp;SUBSTITUTE($B50,"'","''")&amp;"'"&amp;", "&amp;"'"&amp;SUBSTITUTE($C50,"'","''")&amp;"'"&amp;", HASHBYTES('SHA2_512', "&amp;"'"&amp;SUBSTITUTE($D50,"'","''")&amp;"'"&amp;"), "&amp;IF($E50="","SYSDATETIME()","'"&amp;SUBSTITUTE($E50,"'","''")&amp;"'")&amp;", "&amp;IF($F50="","1",$F50)&amp;" WHERE NOT EXISTS (SELECT 1 FROM Usuario WHERE NomeUsuario = "&amp;"'"&amp;SUBSTITUTE($A50,"'","''")&amp;"'"&amp;" OR Email = "&amp;"'"&amp;SUBSTITUTE($B50,"'","''")&amp;"'"&amp;");")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8"/>
      <c r="F51" s="26"/>
      <c r="H51" s="25" t="str">
        <f aca="false">IF($A51="","","INSERT INTO Usuario (NomeUsuario, Email, TipoUsuario, SenhaHash, DataCadastro, Ativo) SELECT "&amp;"'"&amp;SUBSTITUTE($A51,"'","''")&amp;"'"&amp;", "&amp;"'"&amp;SUBSTITUTE($B51,"'","''")&amp;"'"&amp;", "&amp;"'"&amp;SUBSTITUTE($C51,"'","''")&amp;"'"&amp;", HASHBYTES('SHA2_512', "&amp;"'"&amp;SUBSTITUTE($D51,"'","''")&amp;"'"&amp;"), "&amp;IF($E51="","SYSDATETIME()","'"&amp;SUBSTITUTE($E51,"'","''")&amp;"'")&amp;", "&amp;IF($F51="","1",$F51)&amp;" WHERE NOT EXISTS (SELECT 1 FROM Usuario WHERE NomeUsuario = "&amp;"'"&amp;SUBSTITUTE($A51,"'","''")&amp;"'"&amp;" OR Email = "&amp;"'"&amp;SUBSTITUTE($B51,"'","''")&amp;"'"&amp;");")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8"/>
      <c r="F52" s="26"/>
      <c r="H52" s="25" t="str">
        <f aca="false">IF($A52="","","INSERT INTO Usuario (NomeUsuario, Email, TipoUsuario, SenhaHash, DataCadastro, Ativo) SELECT "&amp;"'"&amp;SUBSTITUTE($A52,"'","''")&amp;"'"&amp;", "&amp;"'"&amp;SUBSTITUTE($B52,"'","''")&amp;"'"&amp;", "&amp;"'"&amp;SUBSTITUTE($C52,"'","''")&amp;"'"&amp;", HASHBYTES('SHA2_512', "&amp;"'"&amp;SUBSTITUTE($D52,"'","''")&amp;"'"&amp;"), "&amp;IF($E52="","SYSDATETIME()","'"&amp;SUBSTITUTE($E52,"'","''")&amp;"'")&amp;", "&amp;IF($F52="","1",$F52)&amp;" WHERE NOT EXISTS (SELECT 1 FROM Usuario WHERE NomeUsuario = "&amp;"'"&amp;SUBSTITUTE($A52,"'","''")&amp;"'"&amp;" OR Email = "&amp;"'"&amp;SUBSTITUTE($B52,"'","''")&amp;"'"&amp;");")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8"/>
      <c r="F53" s="26"/>
      <c r="H53" s="25" t="str">
        <f aca="false">IF($A53="","","INSERT INTO Usuario (NomeUsuario, Email, TipoUsuario, SenhaHash, DataCadastro, Ativo) SELECT "&amp;"'"&amp;SUBSTITUTE($A53,"'","''")&amp;"'"&amp;", "&amp;"'"&amp;SUBSTITUTE($B53,"'","''")&amp;"'"&amp;", "&amp;"'"&amp;SUBSTITUTE($C53,"'","''")&amp;"'"&amp;", HASHBYTES('SHA2_512', "&amp;"'"&amp;SUBSTITUTE($D53,"'","''")&amp;"'"&amp;"), "&amp;IF($E53="","SYSDATETIME()","'"&amp;SUBSTITUTE($E53,"'","''")&amp;"'")&amp;", "&amp;IF($F53="","1",$F53)&amp;" WHERE NOT EXISTS (SELECT 1 FROM Usuario WHERE NomeUsuario = "&amp;"'"&amp;SUBSTITUTE($A53,"'","''")&amp;"'"&amp;" OR Email = "&amp;"'"&amp;SUBSTITUTE($B53,"'","''")&amp;"'"&amp;");")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8"/>
      <c r="F54" s="26"/>
      <c r="H54" s="25" t="str">
        <f aca="false">IF($A54="","","INSERT INTO Usuario (NomeUsuario, Email, TipoUsuario, SenhaHash, DataCadastro, Ativo) SELECT "&amp;"'"&amp;SUBSTITUTE($A54,"'","''")&amp;"'"&amp;", "&amp;"'"&amp;SUBSTITUTE($B54,"'","''")&amp;"'"&amp;", "&amp;"'"&amp;SUBSTITUTE($C54,"'","''")&amp;"'"&amp;", HASHBYTES('SHA2_512', "&amp;"'"&amp;SUBSTITUTE($D54,"'","''")&amp;"'"&amp;"), "&amp;IF($E54="","SYSDATETIME()","'"&amp;SUBSTITUTE($E54,"'","''")&amp;"'")&amp;", "&amp;IF($F54="","1",$F54)&amp;" WHERE NOT EXISTS (SELECT 1 FROM Usuario WHERE NomeUsuario = "&amp;"'"&amp;SUBSTITUTE($A54,"'","''")&amp;"'"&amp;" OR Email = "&amp;"'"&amp;SUBSTITUTE($B54,"'","''")&amp;"'"&amp;");")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8"/>
      <c r="F55" s="26"/>
      <c r="H55" s="25" t="str">
        <f aca="false">IF($A55="","","INSERT INTO Usuario (NomeUsuario, Email, TipoUsuario, SenhaHash, DataCadastro, Ativo) SELECT "&amp;"'"&amp;SUBSTITUTE($A55,"'","''")&amp;"'"&amp;", "&amp;"'"&amp;SUBSTITUTE($B55,"'","''")&amp;"'"&amp;", "&amp;"'"&amp;SUBSTITUTE($C55,"'","''")&amp;"'"&amp;", HASHBYTES('SHA2_512', "&amp;"'"&amp;SUBSTITUTE($D55,"'","''")&amp;"'"&amp;"), "&amp;IF($E55="","SYSDATETIME()","'"&amp;SUBSTITUTE($E55,"'","''")&amp;"'")&amp;", "&amp;IF($F55="","1",$F55)&amp;" WHERE NOT EXISTS (SELECT 1 FROM Usuario WHERE NomeUsuario = "&amp;"'"&amp;SUBSTITUTE($A55,"'","''")&amp;"'"&amp;" OR Email = "&amp;"'"&amp;SUBSTITUTE($B55,"'","''")&amp;"'"&amp;");")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8"/>
      <c r="F56" s="26"/>
      <c r="H56" s="25" t="str">
        <f aca="false">IF($A56="","","INSERT INTO Usuario (NomeUsuario, Email, TipoUsuario, SenhaHash, DataCadastro, Ativo) SELECT "&amp;"'"&amp;SUBSTITUTE($A56,"'","''")&amp;"'"&amp;", "&amp;"'"&amp;SUBSTITUTE($B56,"'","''")&amp;"'"&amp;", "&amp;"'"&amp;SUBSTITUTE($C56,"'","''")&amp;"'"&amp;", HASHBYTES('SHA2_512', "&amp;"'"&amp;SUBSTITUTE($D56,"'","''")&amp;"'"&amp;"), "&amp;IF($E56="","SYSDATETIME()","'"&amp;SUBSTITUTE($E56,"'","''")&amp;"'")&amp;", "&amp;IF($F56="","1",$F56)&amp;" WHERE NOT EXISTS (SELECT 1 FROM Usuario WHERE NomeUsuario = "&amp;"'"&amp;SUBSTITUTE($A56,"'","''")&amp;"'"&amp;" OR Email = "&amp;"'"&amp;SUBSTITUTE($B56,"'","''")&amp;"'"&amp;");")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8"/>
      <c r="F57" s="26"/>
      <c r="H57" s="25" t="str">
        <f aca="false">IF($A57="","","INSERT INTO Usuario (NomeUsuario, Email, TipoUsuario, SenhaHash, DataCadastro, Ativo) SELECT "&amp;"'"&amp;SUBSTITUTE($A57,"'","''")&amp;"'"&amp;", "&amp;"'"&amp;SUBSTITUTE($B57,"'","''")&amp;"'"&amp;", "&amp;"'"&amp;SUBSTITUTE($C57,"'","''")&amp;"'"&amp;", HASHBYTES('SHA2_512', "&amp;"'"&amp;SUBSTITUTE($D57,"'","''")&amp;"'"&amp;"), "&amp;IF($E57="","SYSDATETIME()","'"&amp;SUBSTITUTE($E57,"'","''")&amp;"'")&amp;", "&amp;IF($F57="","1",$F57)&amp;" WHERE NOT EXISTS (SELECT 1 FROM Usuario WHERE NomeUsuario = "&amp;"'"&amp;SUBSTITUTE($A57,"'","''")&amp;"'"&amp;" OR Email = "&amp;"'"&amp;SUBSTITUTE($B57,"'","''")&amp;"'"&amp;");")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8"/>
      <c r="F58" s="26"/>
      <c r="H58" s="25" t="str">
        <f aca="false">IF($A58="","","INSERT INTO Usuario (NomeUsuario, Email, TipoUsuario, SenhaHash, DataCadastro, Ativo) SELECT "&amp;"'"&amp;SUBSTITUTE($A58,"'","''")&amp;"'"&amp;", "&amp;"'"&amp;SUBSTITUTE($B58,"'","''")&amp;"'"&amp;", "&amp;"'"&amp;SUBSTITUTE($C58,"'","''")&amp;"'"&amp;", HASHBYTES('SHA2_512', "&amp;"'"&amp;SUBSTITUTE($D58,"'","''")&amp;"'"&amp;"), "&amp;IF($E58="","SYSDATETIME()","'"&amp;SUBSTITUTE($E58,"'","''")&amp;"'")&amp;", "&amp;IF($F58="","1",$F58)&amp;" WHERE NOT EXISTS (SELECT 1 FROM Usuario WHERE NomeUsuario = "&amp;"'"&amp;SUBSTITUTE($A58,"'","''")&amp;"'"&amp;" OR Email = "&amp;"'"&amp;SUBSTITUTE($B58,"'","''")&amp;"'"&amp;");")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8"/>
      <c r="F59" s="26"/>
      <c r="H59" s="25" t="str">
        <f aca="false">IF($A59="","","INSERT INTO Usuario (NomeUsuario, Email, TipoUsuario, SenhaHash, DataCadastro, Ativo) SELECT "&amp;"'"&amp;SUBSTITUTE($A59,"'","''")&amp;"'"&amp;", "&amp;"'"&amp;SUBSTITUTE($B59,"'","''")&amp;"'"&amp;", "&amp;"'"&amp;SUBSTITUTE($C59,"'","''")&amp;"'"&amp;", HASHBYTES('SHA2_512', "&amp;"'"&amp;SUBSTITUTE($D59,"'","''")&amp;"'"&amp;"), "&amp;IF($E59="","SYSDATETIME()","'"&amp;SUBSTITUTE($E59,"'","''")&amp;"'")&amp;", "&amp;IF($F59="","1",$F59)&amp;" WHERE NOT EXISTS (SELECT 1 FROM Usuario WHERE NomeUsuario = "&amp;"'"&amp;SUBSTITUTE($A59,"'","''")&amp;"'"&amp;" OR Email = "&amp;"'"&amp;SUBSTITUTE($B59,"'","''")&amp;"'"&amp;");")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8"/>
      <c r="F60" s="26"/>
      <c r="H60" s="25" t="str">
        <f aca="false">IF($A60="","","INSERT INTO Usuario (NomeUsuario, Email, TipoUsuario, SenhaHash, DataCadastro, Ativo) SELECT "&amp;"'"&amp;SUBSTITUTE($A60,"'","''")&amp;"'"&amp;", "&amp;"'"&amp;SUBSTITUTE($B60,"'","''")&amp;"'"&amp;", "&amp;"'"&amp;SUBSTITUTE($C60,"'","''")&amp;"'"&amp;", HASHBYTES('SHA2_512', "&amp;"'"&amp;SUBSTITUTE($D60,"'","''")&amp;"'"&amp;"), "&amp;IF($E60="","SYSDATETIME()","'"&amp;SUBSTITUTE($E60,"'","''")&amp;"'")&amp;", "&amp;IF($F60="","1",$F60)&amp;" WHERE NOT EXISTS (SELECT 1 FROM Usuario WHERE NomeUsuario = "&amp;"'"&amp;SUBSTITUTE($A60,"'","''")&amp;"'"&amp;" OR Email = "&amp;"'"&amp;SUBSTITUTE($B60,"'","''")&amp;"'"&amp;");")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8"/>
      <c r="F61" s="26"/>
      <c r="H61" s="25" t="str">
        <f aca="false">IF($A61="","","INSERT INTO Usuario (NomeUsuario, Email, TipoUsuario, SenhaHash, DataCadastro, Ativo) SELECT "&amp;"'"&amp;SUBSTITUTE($A61,"'","''")&amp;"'"&amp;", "&amp;"'"&amp;SUBSTITUTE($B61,"'","''")&amp;"'"&amp;", "&amp;"'"&amp;SUBSTITUTE($C61,"'","''")&amp;"'"&amp;", HASHBYTES('SHA2_512', "&amp;"'"&amp;SUBSTITUTE($D61,"'","''")&amp;"'"&amp;"), "&amp;IF($E61="","SYSDATETIME()","'"&amp;SUBSTITUTE($E61,"'","''")&amp;"'")&amp;", "&amp;IF($F61="","1",$F61)&amp;" WHERE NOT EXISTS (SELECT 1 FROM Usuario WHERE NomeUsuario = "&amp;"'"&amp;SUBSTITUTE($A61,"'","''")&amp;"'"&amp;" OR Email = "&amp;"'"&amp;SUBSTITUTE($B61,"'","''")&amp;"'"&amp;");")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8"/>
      <c r="F62" s="26"/>
      <c r="H62" s="25" t="str">
        <f aca="false">IF($A62="","","INSERT INTO Usuario (NomeUsuario, Email, TipoUsuario, SenhaHash, DataCadastro, Ativo) SELECT "&amp;"'"&amp;SUBSTITUTE($A62,"'","''")&amp;"'"&amp;", "&amp;"'"&amp;SUBSTITUTE($B62,"'","''")&amp;"'"&amp;", "&amp;"'"&amp;SUBSTITUTE($C62,"'","''")&amp;"'"&amp;", HASHBYTES('SHA2_512', "&amp;"'"&amp;SUBSTITUTE($D62,"'","''")&amp;"'"&amp;"), "&amp;IF($E62="","SYSDATETIME()","'"&amp;SUBSTITUTE($E62,"'","''")&amp;"'")&amp;", "&amp;IF($F62="","1",$F62)&amp;" WHERE NOT EXISTS (SELECT 1 FROM Usuario WHERE NomeUsuario = "&amp;"'"&amp;SUBSTITUTE($A62,"'","''")&amp;"'"&amp;" OR Email = "&amp;"'"&amp;SUBSTITUTE($B62,"'","''")&amp;"'"&amp;");")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8"/>
      <c r="F63" s="26"/>
      <c r="H63" s="25" t="str">
        <f aca="false">IF($A63="","","INSERT INTO Usuario (NomeUsuario, Email, TipoUsuario, SenhaHash, DataCadastro, Ativo) SELECT "&amp;"'"&amp;SUBSTITUTE($A63,"'","''")&amp;"'"&amp;", "&amp;"'"&amp;SUBSTITUTE($B63,"'","''")&amp;"'"&amp;", "&amp;"'"&amp;SUBSTITUTE($C63,"'","''")&amp;"'"&amp;", HASHBYTES('SHA2_512', "&amp;"'"&amp;SUBSTITUTE($D63,"'","''")&amp;"'"&amp;"), "&amp;IF($E63="","SYSDATETIME()","'"&amp;SUBSTITUTE($E63,"'","''")&amp;"'")&amp;", "&amp;IF($F63="","1",$F63)&amp;" WHERE NOT EXISTS (SELECT 1 FROM Usuario WHERE NomeUsuario = "&amp;"'"&amp;SUBSTITUTE($A63,"'","''")&amp;"'"&amp;" OR Email = "&amp;"'"&amp;SUBSTITUTE($B63,"'","''")&amp;"'"&amp;");")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8"/>
      <c r="F64" s="26"/>
      <c r="H64" s="25" t="str">
        <f aca="false">IF($A64="","","INSERT INTO Usuario (NomeUsuario, Email, TipoUsuario, SenhaHash, DataCadastro, Ativo) SELECT "&amp;"'"&amp;SUBSTITUTE($A64,"'","''")&amp;"'"&amp;", "&amp;"'"&amp;SUBSTITUTE($B64,"'","''")&amp;"'"&amp;", "&amp;"'"&amp;SUBSTITUTE($C64,"'","''")&amp;"'"&amp;", HASHBYTES('SHA2_512', "&amp;"'"&amp;SUBSTITUTE($D64,"'","''")&amp;"'"&amp;"), "&amp;IF($E64="","SYSDATETIME()","'"&amp;SUBSTITUTE($E64,"'","''")&amp;"'")&amp;", "&amp;IF($F64="","1",$F64)&amp;" WHERE NOT EXISTS (SELECT 1 FROM Usuario WHERE NomeUsuario = "&amp;"'"&amp;SUBSTITUTE($A64,"'","''")&amp;"'"&amp;" OR Email = "&amp;"'"&amp;SUBSTITUTE($B64,"'","''")&amp;"'"&amp;");")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8"/>
      <c r="F65" s="26"/>
      <c r="H65" s="25" t="str">
        <f aca="false">IF($A65="","","INSERT INTO Usuario (NomeUsuario, Email, TipoUsuario, SenhaHash, DataCadastro, Ativo) SELECT "&amp;"'"&amp;SUBSTITUTE($A65,"'","''")&amp;"'"&amp;", "&amp;"'"&amp;SUBSTITUTE($B65,"'","''")&amp;"'"&amp;", "&amp;"'"&amp;SUBSTITUTE($C65,"'","''")&amp;"'"&amp;", HASHBYTES('SHA2_512', "&amp;"'"&amp;SUBSTITUTE($D65,"'","''")&amp;"'"&amp;"), "&amp;IF($E65="","SYSDATETIME()","'"&amp;SUBSTITUTE($E65,"'","''")&amp;"'")&amp;", "&amp;IF($F65="","1",$F65)&amp;" WHERE NOT EXISTS (SELECT 1 FROM Usuario WHERE NomeUsuario = "&amp;"'"&amp;SUBSTITUTE($A65,"'","''")&amp;"'"&amp;" OR Email = "&amp;"'"&amp;SUBSTITUTE($B65,"'","''")&amp;"'"&amp;");")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8"/>
      <c r="F66" s="26"/>
      <c r="H66" s="25" t="str">
        <f aca="false">IF($A66="","","INSERT INTO Usuario (NomeUsuario, Email, TipoUsuario, SenhaHash, DataCadastro, Ativo) SELECT "&amp;"'"&amp;SUBSTITUTE($A66,"'","''")&amp;"'"&amp;", "&amp;"'"&amp;SUBSTITUTE($B66,"'","''")&amp;"'"&amp;", "&amp;"'"&amp;SUBSTITUTE($C66,"'","''")&amp;"'"&amp;", HASHBYTES('SHA2_512', "&amp;"'"&amp;SUBSTITUTE($D66,"'","''")&amp;"'"&amp;"), "&amp;IF($E66="","SYSDATETIME()","'"&amp;SUBSTITUTE($E66,"'","''")&amp;"'")&amp;", "&amp;IF($F66="","1",$F66)&amp;" WHERE NOT EXISTS (SELECT 1 FROM Usuario WHERE NomeUsuario = "&amp;"'"&amp;SUBSTITUTE($A66,"'","''")&amp;"'"&amp;" OR Email = "&amp;"'"&amp;SUBSTITUTE($B66,"'","''")&amp;"'"&amp;");")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8"/>
      <c r="F67" s="26"/>
      <c r="H67" s="25" t="str">
        <f aca="false">IF($A67="","","INSERT INTO Usuario (NomeUsuario, Email, TipoUsuario, SenhaHash, DataCadastro, Ativo) SELECT "&amp;"'"&amp;SUBSTITUTE($A67,"'","''")&amp;"'"&amp;", "&amp;"'"&amp;SUBSTITUTE($B67,"'","''")&amp;"'"&amp;", "&amp;"'"&amp;SUBSTITUTE($C67,"'","''")&amp;"'"&amp;", HASHBYTES('SHA2_512', "&amp;"'"&amp;SUBSTITUTE($D67,"'","''")&amp;"'"&amp;"), "&amp;IF($E67="","SYSDATETIME()","'"&amp;SUBSTITUTE($E67,"'","''")&amp;"'")&amp;", "&amp;IF($F67="","1",$F67)&amp;" WHERE NOT EXISTS (SELECT 1 FROM Usuario WHERE NomeUsuario = "&amp;"'"&amp;SUBSTITUTE($A67,"'","''")&amp;"'"&amp;" OR Email = "&amp;"'"&amp;SUBSTITUTE($B67,"'","''")&amp;"'"&amp;");")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8"/>
      <c r="F68" s="26"/>
      <c r="H68" s="25" t="str">
        <f aca="false">IF($A68="","","INSERT INTO Usuario (NomeUsuario, Email, TipoUsuario, SenhaHash, DataCadastro, Ativo) SELECT "&amp;"'"&amp;SUBSTITUTE($A68,"'","''")&amp;"'"&amp;", "&amp;"'"&amp;SUBSTITUTE($B68,"'","''")&amp;"'"&amp;", "&amp;"'"&amp;SUBSTITUTE($C68,"'","''")&amp;"'"&amp;", HASHBYTES('SHA2_512', "&amp;"'"&amp;SUBSTITUTE($D68,"'","''")&amp;"'"&amp;"), "&amp;IF($E68="","SYSDATETIME()","'"&amp;SUBSTITUTE($E68,"'","''")&amp;"'")&amp;", "&amp;IF($F68="","1",$F68)&amp;" WHERE NOT EXISTS (SELECT 1 FROM Usuario WHERE NomeUsuario = "&amp;"'"&amp;SUBSTITUTE($A68,"'","''")&amp;"'"&amp;" OR Email = "&amp;"'"&amp;SUBSTITUTE($B68,"'","''")&amp;"'"&amp;");")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8"/>
      <c r="F69" s="26"/>
      <c r="H69" s="25" t="str">
        <f aca="false">IF($A69="","","INSERT INTO Usuario (NomeUsuario, Email, TipoUsuario, SenhaHash, DataCadastro, Ativo) SELECT "&amp;"'"&amp;SUBSTITUTE($A69,"'","''")&amp;"'"&amp;", "&amp;"'"&amp;SUBSTITUTE($B69,"'","''")&amp;"'"&amp;", "&amp;"'"&amp;SUBSTITUTE($C69,"'","''")&amp;"'"&amp;", HASHBYTES('SHA2_512', "&amp;"'"&amp;SUBSTITUTE($D69,"'","''")&amp;"'"&amp;"), "&amp;IF($E69="","SYSDATETIME()","'"&amp;SUBSTITUTE($E69,"'","''")&amp;"'")&amp;", "&amp;IF($F69="","1",$F69)&amp;" WHERE NOT EXISTS (SELECT 1 FROM Usuario WHERE NomeUsuario = "&amp;"'"&amp;SUBSTITUTE($A69,"'","''")&amp;"'"&amp;" OR Email = "&amp;"'"&amp;SUBSTITUTE($B69,"'","''")&amp;"'"&amp;");")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8"/>
      <c r="F70" s="26"/>
      <c r="H70" s="25" t="str">
        <f aca="false">IF($A70="","","INSERT INTO Usuario (NomeUsuario, Email, TipoUsuario, SenhaHash, DataCadastro, Ativo) SELECT "&amp;"'"&amp;SUBSTITUTE($A70,"'","''")&amp;"'"&amp;", "&amp;"'"&amp;SUBSTITUTE($B70,"'","''")&amp;"'"&amp;", "&amp;"'"&amp;SUBSTITUTE($C70,"'","''")&amp;"'"&amp;", HASHBYTES('SHA2_512', "&amp;"'"&amp;SUBSTITUTE($D70,"'","''")&amp;"'"&amp;"), "&amp;IF($E70="","SYSDATETIME()","'"&amp;SUBSTITUTE($E70,"'","''")&amp;"'")&amp;", "&amp;IF($F70="","1",$F70)&amp;" WHERE NOT EXISTS (SELECT 1 FROM Usuario WHERE NomeUsuario = "&amp;"'"&amp;SUBSTITUTE($A70,"'","''")&amp;"'"&amp;" OR Email = "&amp;"'"&amp;SUBSTITUTE($B70,"'","''")&amp;"'"&amp;");")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8"/>
      <c r="F71" s="26"/>
      <c r="H71" s="25" t="str">
        <f aca="false">IF($A71="","","INSERT INTO Usuario (NomeUsuario, Email, TipoUsuario, SenhaHash, DataCadastro, Ativo) SELECT "&amp;"'"&amp;SUBSTITUTE($A71,"'","''")&amp;"'"&amp;", "&amp;"'"&amp;SUBSTITUTE($B71,"'","''")&amp;"'"&amp;", "&amp;"'"&amp;SUBSTITUTE($C71,"'","''")&amp;"'"&amp;", HASHBYTES('SHA2_512', "&amp;"'"&amp;SUBSTITUTE($D71,"'","''")&amp;"'"&amp;"), "&amp;IF($E71="","SYSDATETIME()","'"&amp;SUBSTITUTE($E71,"'","''")&amp;"'")&amp;", "&amp;IF($F71="","1",$F71)&amp;" WHERE NOT EXISTS (SELECT 1 FROM Usuario WHERE NomeUsuario = "&amp;"'"&amp;SUBSTITUTE($A71,"'","''")&amp;"'"&amp;" OR Email = "&amp;"'"&amp;SUBSTITUTE($B71,"'","''")&amp;"'"&amp;");")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8"/>
      <c r="F72" s="26"/>
      <c r="H72" s="25" t="str">
        <f aca="false">IF($A72="","","INSERT INTO Usuario (NomeUsuario, Email, TipoUsuario, SenhaHash, DataCadastro, Ativo) SELECT "&amp;"'"&amp;SUBSTITUTE($A72,"'","''")&amp;"'"&amp;", "&amp;"'"&amp;SUBSTITUTE($B72,"'","''")&amp;"'"&amp;", "&amp;"'"&amp;SUBSTITUTE($C72,"'","''")&amp;"'"&amp;", HASHBYTES('SHA2_512', "&amp;"'"&amp;SUBSTITUTE($D72,"'","''")&amp;"'"&amp;"), "&amp;IF($E72="","SYSDATETIME()","'"&amp;SUBSTITUTE($E72,"'","''")&amp;"'")&amp;", "&amp;IF($F72="","1",$F72)&amp;" WHERE NOT EXISTS (SELECT 1 FROM Usuario WHERE NomeUsuario = "&amp;"'"&amp;SUBSTITUTE($A72,"'","''")&amp;"'"&amp;" OR Email = "&amp;"'"&amp;SUBSTITUTE($B72,"'","''")&amp;"'"&amp;");")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8"/>
      <c r="F73" s="26"/>
      <c r="H73" s="25" t="str">
        <f aca="false">IF($A73="","","INSERT INTO Usuario (NomeUsuario, Email, TipoUsuario, SenhaHash, DataCadastro, Ativo) SELECT "&amp;"'"&amp;SUBSTITUTE($A73,"'","''")&amp;"'"&amp;", "&amp;"'"&amp;SUBSTITUTE($B73,"'","''")&amp;"'"&amp;", "&amp;"'"&amp;SUBSTITUTE($C73,"'","''")&amp;"'"&amp;", HASHBYTES('SHA2_512', "&amp;"'"&amp;SUBSTITUTE($D73,"'","''")&amp;"'"&amp;"), "&amp;IF($E73="","SYSDATETIME()","'"&amp;SUBSTITUTE($E73,"'","''")&amp;"'")&amp;", "&amp;IF($F73="","1",$F73)&amp;" WHERE NOT EXISTS (SELECT 1 FROM Usuario WHERE NomeUsuario = "&amp;"'"&amp;SUBSTITUTE($A73,"'","''")&amp;"'"&amp;" OR Email = "&amp;"'"&amp;SUBSTITUTE($B73,"'","''")&amp;"'"&amp;");")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8"/>
      <c r="F74" s="26"/>
      <c r="H74" s="25" t="str">
        <f aca="false">IF($A74="","","INSERT INTO Usuario (NomeUsuario, Email, TipoUsuario, SenhaHash, DataCadastro, Ativo) SELECT "&amp;"'"&amp;SUBSTITUTE($A74,"'","''")&amp;"'"&amp;", "&amp;"'"&amp;SUBSTITUTE($B74,"'","''")&amp;"'"&amp;", "&amp;"'"&amp;SUBSTITUTE($C74,"'","''")&amp;"'"&amp;", HASHBYTES('SHA2_512', "&amp;"'"&amp;SUBSTITUTE($D74,"'","''")&amp;"'"&amp;"), "&amp;IF($E74="","SYSDATETIME()","'"&amp;SUBSTITUTE($E74,"'","''")&amp;"'")&amp;", "&amp;IF($F74="","1",$F74)&amp;" WHERE NOT EXISTS (SELECT 1 FROM Usuario WHERE NomeUsuario = "&amp;"'"&amp;SUBSTITUTE($A74,"'","''")&amp;"'"&amp;" OR Email = "&amp;"'"&amp;SUBSTITUTE($B74,"'","''")&amp;"'"&amp;");")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8"/>
      <c r="F75" s="26"/>
      <c r="H75" s="25" t="str">
        <f aca="false">IF($A75="","","INSERT INTO Usuario (NomeUsuario, Email, TipoUsuario, SenhaHash, DataCadastro, Ativo) SELECT "&amp;"'"&amp;SUBSTITUTE($A75,"'","''")&amp;"'"&amp;", "&amp;"'"&amp;SUBSTITUTE($B75,"'","''")&amp;"'"&amp;", "&amp;"'"&amp;SUBSTITUTE($C75,"'","''")&amp;"'"&amp;", HASHBYTES('SHA2_512', "&amp;"'"&amp;SUBSTITUTE($D75,"'","''")&amp;"'"&amp;"), "&amp;IF($E75="","SYSDATETIME()","'"&amp;SUBSTITUTE($E75,"'","''")&amp;"'")&amp;", "&amp;IF($F75="","1",$F75)&amp;" WHERE NOT EXISTS (SELECT 1 FROM Usuario WHERE NomeUsuario = "&amp;"'"&amp;SUBSTITUTE($A75,"'","''")&amp;"'"&amp;" OR Email = "&amp;"'"&amp;SUBSTITUTE($B75,"'","''")&amp;"'"&amp;");")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8"/>
      <c r="F76" s="26"/>
      <c r="H76" s="25" t="str">
        <f aca="false">IF($A76="","","INSERT INTO Usuario (NomeUsuario, Email, TipoUsuario, SenhaHash, DataCadastro, Ativo) SELECT "&amp;"'"&amp;SUBSTITUTE($A76,"'","''")&amp;"'"&amp;", "&amp;"'"&amp;SUBSTITUTE($B76,"'","''")&amp;"'"&amp;", "&amp;"'"&amp;SUBSTITUTE($C76,"'","''")&amp;"'"&amp;", HASHBYTES('SHA2_512', "&amp;"'"&amp;SUBSTITUTE($D76,"'","''")&amp;"'"&amp;"), "&amp;IF($E76="","SYSDATETIME()","'"&amp;SUBSTITUTE($E76,"'","''")&amp;"'")&amp;", "&amp;IF($F76="","1",$F76)&amp;" WHERE NOT EXISTS (SELECT 1 FROM Usuario WHERE NomeUsuario = "&amp;"'"&amp;SUBSTITUTE($A76,"'","''")&amp;"'"&amp;" OR Email = "&amp;"'"&amp;SUBSTITUTE($B76,"'","''")&amp;"'"&amp;");")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8"/>
      <c r="F77" s="26"/>
      <c r="H77" s="25" t="str">
        <f aca="false">IF($A77="","","INSERT INTO Usuario (NomeUsuario, Email, TipoUsuario, SenhaHash, DataCadastro, Ativo) SELECT "&amp;"'"&amp;SUBSTITUTE($A77,"'","''")&amp;"'"&amp;", "&amp;"'"&amp;SUBSTITUTE($B77,"'","''")&amp;"'"&amp;", "&amp;"'"&amp;SUBSTITUTE($C77,"'","''")&amp;"'"&amp;", HASHBYTES('SHA2_512', "&amp;"'"&amp;SUBSTITUTE($D77,"'","''")&amp;"'"&amp;"), "&amp;IF($E77="","SYSDATETIME()","'"&amp;SUBSTITUTE($E77,"'","''")&amp;"'")&amp;", "&amp;IF($F77="","1",$F77)&amp;" WHERE NOT EXISTS (SELECT 1 FROM Usuario WHERE NomeUsuario = "&amp;"'"&amp;SUBSTITUTE($A77,"'","''")&amp;"'"&amp;" OR Email = "&amp;"'"&amp;SUBSTITUTE($B77,"'","''")&amp;"'"&amp;");")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8"/>
      <c r="F78" s="26"/>
      <c r="H78" s="25" t="str">
        <f aca="false">IF($A78="","","INSERT INTO Usuario (NomeUsuario, Email, TipoUsuario, SenhaHash, DataCadastro, Ativo) SELECT "&amp;"'"&amp;SUBSTITUTE($A78,"'","''")&amp;"'"&amp;", "&amp;"'"&amp;SUBSTITUTE($B78,"'","''")&amp;"'"&amp;", "&amp;"'"&amp;SUBSTITUTE($C78,"'","''")&amp;"'"&amp;", HASHBYTES('SHA2_512', "&amp;"'"&amp;SUBSTITUTE($D78,"'","''")&amp;"'"&amp;"), "&amp;IF($E78="","SYSDATETIME()","'"&amp;SUBSTITUTE($E78,"'","''")&amp;"'")&amp;", "&amp;IF($F78="","1",$F78)&amp;" WHERE NOT EXISTS (SELECT 1 FROM Usuario WHERE NomeUsuario = "&amp;"'"&amp;SUBSTITUTE($A78,"'","''")&amp;"'"&amp;" OR Email = "&amp;"'"&amp;SUBSTITUTE($B78,"'","''")&amp;"'"&amp;");")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8"/>
      <c r="F79" s="26"/>
      <c r="H79" s="25" t="str">
        <f aca="false">IF($A79="","","INSERT INTO Usuario (NomeUsuario, Email, TipoUsuario, SenhaHash, DataCadastro, Ativo) SELECT "&amp;"'"&amp;SUBSTITUTE($A79,"'","''")&amp;"'"&amp;", "&amp;"'"&amp;SUBSTITUTE($B79,"'","''")&amp;"'"&amp;", "&amp;"'"&amp;SUBSTITUTE($C79,"'","''")&amp;"'"&amp;", HASHBYTES('SHA2_512', "&amp;"'"&amp;SUBSTITUTE($D79,"'","''")&amp;"'"&amp;"), "&amp;IF($E79="","SYSDATETIME()","'"&amp;SUBSTITUTE($E79,"'","''")&amp;"'")&amp;", "&amp;IF($F79="","1",$F79)&amp;" WHERE NOT EXISTS (SELECT 1 FROM Usuario WHERE NomeUsuario = "&amp;"'"&amp;SUBSTITUTE($A79,"'","''")&amp;"'"&amp;" OR Email = "&amp;"'"&amp;SUBSTITUTE($B79,"'","''")&amp;"'"&amp;");")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8"/>
      <c r="F80" s="26"/>
      <c r="H80" s="25" t="str">
        <f aca="false">IF($A80="","","INSERT INTO Usuario (NomeUsuario, Email, TipoUsuario, SenhaHash, DataCadastro, Ativo) SELECT "&amp;"'"&amp;SUBSTITUTE($A80,"'","''")&amp;"'"&amp;", "&amp;"'"&amp;SUBSTITUTE($B80,"'","''")&amp;"'"&amp;", "&amp;"'"&amp;SUBSTITUTE($C80,"'","''")&amp;"'"&amp;", HASHBYTES('SHA2_512', "&amp;"'"&amp;SUBSTITUTE($D80,"'","''")&amp;"'"&amp;"), "&amp;IF($E80="","SYSDATETIME()","'"&amp;SUBSTITUTE($E80,"'","''")&amp;"'")&amp;", "&amp;IF($F80="","1",$F80)&amp;" WHERE NOT EXISTS (SELECT 1 FROM Usuario WHERE NomeUsuario = "&amp;"'"&amp;SUBSTITUTE($A80,"'","''")&amp;"'"&amp;" OR Email = "&amp;"'"&amp;SUBSTITUTE($B80,"'","''")&amp;"'"&amp;");")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8"/>
      <c r="F81" s="26"/>
      <c r="H81" s="25" t="str">
        <f aca="false">IF($A81="","","INSERT INTO Usuario (NomeUsuario, Email, TipoUsuario, SenhaHash, DataCadastro, Ativo) SELECT "&amp;"'"&amp;SUBSTITUTE($A81,"'","''")&amp;"'"&amp;", "&amp;"'"&amp;SUBSTITUTE($B81,"'","''")&amp;"'"&amp;", "&amp;"'"&amp;SUBSTITUTE($C81,"'","''")&amp;"'"&amp;", HASHBYTES('SHA2_512', "&amp;"'"&amp;SUBSTITUTE($D81,"'","''")&amp;"'"&amp;"), "&amp;IF($E81="","SYSDATETIME()","'"&amp;SUBSTITUTE($E81,"'","''")&amp;"'")&amp;", "&amp;IF($F81="","1",$F81)&amp;" WHERE NOT EXISTS (SELECT 1 FROM Usuario WHERE NomeUsuario = "&amp;"'"&amp;SUBSTITUTE($A81,"'","''")&amp;"'"&amp;" OR Email = "&amp;"'"&amp;SUBSTITUTE($B81,"'","''")&amp;"'"&amp;");")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8"/>
      <c r="F82" s="26"/>
      <c r="H82" s="25" t="str">
        <f aca="false">IF($A82="","","INSERT INTO Usuario (NomeUsuario, Email, TipoUsuario, SenhaHash, DataCadastro, Ativo) SELECT "&amp;"'"&amp;SUBSTITUTE($A82,"'","''")&amp;"'"&amp;", "&amp;"'"&amp;SUBSTITUTE($B82,"'","''")&amp;"'"&amp;", "&amp;"'"&amp;SUBSTITUTE($C82,"'","''")&amp;"'"&amp;", HASHBYTES('SHA2_512', "&amp;"'"&amp;SUBSTITUTE($D82,"'","''")&amp;"'"&amp;"), "&amp;IF($E82="","SYSDATETIME()","'"&amp;SUBSTITUTE($E82,"'","''")&amp;"'")&amp;", "&amp;IF($F82="","1",$F82)&amp;" WHERE NOT EXISTS (SELECT 1 FROM Usuario WHERE NomeUsuario = "&amp;"'"&amp;SUBSTITUTE($A82,"'","''")&amp;"'"&amp;" OR Email = "&amp;"'"&amp;SUBSTITUTE($B82,"'","''")&amp;"'"&amp;");")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8"/>
      <c r="F83" s="26"/>
      <c r="H83" s="25" t="str">
        <f aca="false">IF($A83="","","INSERT INTO Usuario (NomeUsuario, Email, TipoUsuario, SenhaHash, DataCadastro, Ativo) SELECT "&amp;"'"&amp;SUBSTITUTE($A83,"'","''")&amp;"'"&amp;", "&amp;"'"&amp;SUBSTITUTE($B83,"'","''")&amp;"'"&amp;", "&amp;"'"&amp;SUBSTITUTE($C83,"'","''")&amp;"'"&amp;", HASHBYTES('SHA2_512', "&amp;"'"&amp;SUBSTITUTE($D83,"'","''")&amp;"'"&amp;"), "&amp;IF($E83="","SYSDATETIME()","'"&amp;SUBSTITUTE($E83,"'","''")&amp;"'")&amp;", "&amp;IF($F83="","1",$F83)&amp;" WHERE NOT EXISTS (SELECT 1 FROM Usuario WHERE NomeUsuario = "&amp;"'"&amp;SUBSTITUTE($A83,"'","''")&amp;"'"&amp;" OR Email = "&amp;"'"&amp;SUBSTITUTE($B83,"'","''")&amp;"'"&amp;");")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8"/>
      <c r="F84" s="26"/>
      <c r="H84" s="25" t="str">
        <f aca="false">IF($A84="","","INSERT INTO Usuario (NomeUsuario, Email, TipoUsuario, SenhaHash, DataCadastro, Ativo) SELECT "&amp;"'"&amp;SUBSTITUTE($A84,"'","''")&amp;"'"&amp;", "&amp;"'"&amp;SUBSTITUTE($B84,"'","''")&amp;"'"&amp;", "&amp;"'"&amp;SUBSTITUTE($C84,"'","''")&amp;"'"&amp;", HASHBYTES('SHA2_512', "&amp;"'"&amp;SUBSTITUTE($D84,"'","''")&amp;"'"&amp;"), "&amp;IF($E84="","SYSDATETIME()","'"&amp;SUBSTITUTE($E84,"'","''")&amp;"'")&amp;", "&amp;IF($F84="","1",$F84)&amp;" WHERE NOT EXISTS (SELECT 1 FROM Usuario WHERE NomeUsuario = "&amp;"'"&amp;SUBSTITUTE($A84,"'","''")&amp;"'"&amp;" OR Email = "&amp;"'"&amp;SUBSTITUTE($B84,"'","''")&amp;"'"&amp;");")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8"/>
      <c r="F85" s="26"/>
      <c r="H85" s="25" t="str">
        <f aca="false">IF($A85="","","INSERT INTO Usuario (NomeUsuario, Email, TipoUsuario, SenhaHash, DataCadastro, Ativo) SELECT "&amp;"'"&amp;SUBSTITUTE($A85,"'","''")&amp;"'"&amp;", "&amp;"'"&amp;SUBSTITUTE($B85,"'","''")&amp;"'"&amp;", "&amp;"'"&amp;SUBSTITUTE($C85,"'","''")&amp;"'"&amp;", HASHBYTES('SHA2_512', "&amp;"'"&amp;SUBSTITUTE($D85,"'","''")&amp;"'"&amp;"), "&amp;IF($E85="","SYSDATETIME()","'"&amp;SUBSTITUTE($E85,"'","''")&amp;"'")&amp;", "&amp;IF($F85="","1",$F85)&amp;" WHERE NOT EXISTS (SELECT 1 FROM Usuario WHERE NomeUsuario = "&amp;"'"&amp;SUBSTITUTE($A85,"'","''")&amp;"'"&amp;" OR Email = "&amp;"'"&amp;SUBSTITUTE($B85,"'","''")&amp;"'"&amp;");")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8"/>
      <c r="F86" s="26"/>
      <c r="H86" s="25" t="str">
        <f aca="false">IF($A86="","","INSERT INTO Usuario (NomeUsuario, Email, TipoUsuario, SenhaHash, DataCadastro, Ativo) SELECT "&amp;"'"&amp;SUBSTITUTE($A86,"'","''")&amp;"'"&amp;", "&amp;"'"&amp;SUBSTITUTE($B86,"'","''")&amp;"'"&amp;", "&amp;"'"&amp;SUBSTITUTE($C86,"'","''")&amp;"'"&amp;", HASHBYTES('SHA2_512', "&amp;"'"&amp;SUBSTITUTE($D86,"'","''")&amp;"'"&amp;"), "&amp;IF($E86="","SYSDATETIME()","'"&amp;SUBSTITUTE($E86,"'","''")&amp;"'")&amp;", "&amp;IF($F86="","1",$F86)&amp;" WHERE NOT EXISTS (SELECT 1 FROM Usuario WHERE NomeUsuario = "&amp;"'"&amp;SUBSTITUTE($A86,"'","''")&amp;"'"&amp;" OR Email = "&amp;"'"&amp;SUBSTITUTE($B86,"'","''")&amp;"'"&amp;");")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8"/>
      <c r="F87" s="26"/>
      <c r="H87" s="25" t="str">
        <f aca="false">IF($A87="","","INSERT INTO Usuario (NomeUsuario, Email, TipoUsuario, SenhaHash, DataCadastro, Ativo) SELECT "&amp;"'"&amp;SUBSTITUTE($A87,"'","''")&amp;"'"&amp;", "&amp;"'"&amp;SUBSTITUTE($B87,"'","''")&amp;"'"&amp;", "&amp;"'"&amp;SUBSTITUTE($C87,"'","''")&amp;"'"&amp;", HASHBYTES('SHA2_512', "&amp;"'"&amp;SUBSTITUTE($D87,"'","''")&amp;"'"&amp;"), "&amp;IF($E87="","SYSDATETIME()","'"&amp;SUBSTITUTE($E87,"'","''")&amp;"'")&amp;", "&amp;IF($F87="","1",$F87)&amp;" WHERE NOT EXISTS (SELECT 1 FROM Usuario WHERE NomeUsuario = "&amp;"'"&amp;SUBSTITUTE($A87,"'","''")&amp;"'"&amp;" OR Email = "&amp;"'"&amp;SUBSTITUTE($B87,"'","''")&amp;"'"&amp;");")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8"/>
      <c r="F88" s="26"/>
      <c r="H88" s="25" t="str">
        <f aca="false">IF($A88="","","INSERT INTO Usuario (NomeUsuario, Email, TipoUsuario, SenhaHash, DataCadastro, Ativo) SELECT "&amp;"'"&amp;SUBSTITUTE($A88,"'","''")&amp;"'"&amp;", "&amp;"'"&amp;SUBSTITUTE($B88,"'","''")&amp;"'"&amp;", "&amp;"'"&amp;SUBSTITUTE($C88,"'","''")&amp;"'"&amp;", HASHBYTES('SHA2_512', "&amp;"'"&amp;SUBSTITUTE($D88,"'","''")&amp;"'"&amp;"), "&amp;IF($E88="","SYSDATETIME()","'"&amp;SUBSTITUTE($E88,"'","''")&amp;"'")&amp;", "&amp;IF($F88="","1",$F88)&amp;" WHERE NOT EXISTS (SELECT 1 FROM Usuario WHERE NomeUsuario = "&amp;"'"&amp;SUBSTITUTE($A88,"'","''")&amp;"'"&amp;" OR Email = "&amp;"'"&amp;SUBSTITUTE($B88,"'","''")&amp;"'"&amp;");")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8"/>
      <c r="F89" s="26"/>
      <c r="H89" s="25" t="str">
        <f aca="false">IF($A89="","","INSERT INTO Usuario (NomeUsuario, Email, TipoUsuario, SenhaHash, DataCadastro, Ativo) SELECT "&amp;"'"&amp;SUBSTITUTE($A89,"'","''")&amp;"'"&amp;", "&amp;"'"&amp;SUBSTITUTE($B89,"'","''")&amp;"'"&amp;", "&amp;"'"&amp;SUBSTITUTE($C89,"'","''")&amp;"'"&amp;", HASHBYTES('SHA2_512', "&amp;"'"&amp;SUBSTITUTE($D89,"'","''")&amp;"'"&amp;"), "&amp;IF($E89="","SYSDATETIME()","'"&amp;SUBSTITUTE($E89,"'","''")&amp;"'")&amp;", "&amp;IF($F89="","1",$F89)&amp;" WHERE NOT EXISTS (SELECT 1 FROM Usuario WHERE NomeUsuario = "&amp;"'"&amp;SUBSTITUTE($A89,"'","''")&amp;"'"&amp;" OR Email = "&amp;"'"&amp;SUBSTITUTE($B89,"'","''")&amp;"'"&amp;");")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8"/>
      <c r="F90" s="26"/>
      <c r="H90" s="25" t="str">
        <f aca="false">IF($A90="","","INSERT INTO Usuario (NomeUsuario, Email, TipoUsuario, SenhaHash, DataCadastro, Ativo) SELECT "&amp;"'"&amp;SUBSTITUTE($A90,"'","''")&amp;"'"&amp;", "&amp;"'"&amp;SUBSTITUTE($B90,"'","''")&amp;"'"&amp;", "&amp;"'"&amp;SUBSTITUTE($C90,"'","''")&amp;"'"&amp;", HASHBYTES('SHA2_512', "&amp;"'"&amp;SUBSTITUTE($D90,"'","''")&amp;"'"&amp;"), "&amp;IF($E90="","SYSDATETIME()","'"&amp;SUBSTITUTE($E90,"'","''")&amp;"'")&amp;", "&amp;IF($F90="","1",$F90)&amp;" WHERE NOT EXISTS (SELECT 1 FROM Usuario WHERE NomeUsuario = "&amp;"'"&amp;SUBSTITUTE($A90,"'","''")&amp;"'"&amp;" OR Email = "&amp;"'"&amp;SUBSTITUTE($B90,"'","''")&amp;"'"&amp;");")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8"/>
      <c r="F91" s="26"/>
      <c r="H91" s="25" t="str">
        <f aca="false">IF($A91="","","INSERT INTO Usuario (NomeUsuario, Email, TipoUsuario, SenhaHash, DataCadastro, Ativo) SELECT "&amp;"'"&amp;SUBSTITUTE($A91,"'","''")&amp;"'"&amp;", "&amp;"'"&amp;SUBSTITUTE($B91,"'","''")&amp;"'"&amp;", "&amp;"'"&amp;SUBSTITUTE($C91,"'","''")&amp;"'"&amp;", HASHBYTES('SHA2_512', "&amp;"'"&amp;SUBSTITUTE($D91,"'","''")&amp;"'"&amp;"), "&amp;IF($E91="","SYSDATETIME()","'"&amp;SUBSTITUTE($E91,"'","''")&amp;"'")&amp;", "&amp;IF($F91="","1",$F91)&amp;" WHERE NOT EXISTS (SELECT 1 FROM Usuario WHERE NomeUsuario = "&amp;"'"&amp;SUBSTITUTE($A91,"'","''")&amp;"'"&amp;" OR Email = "&amp;"'"&amp;SUBSTITUTE($B91,"'","''")&amp;"'"&amp;");")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8"/>
      <c r="F92" s="26"/>
      <c r="H92" s="25" t="str">
        <f aca="false">IF($A92="","","INSERT INTO Usuario (NomeUsuario, Email, TipoUsuario, SenhaHash, DataCadastro, Ativo) SELECT "&amp;"'"&amp;SUBSTITUTE($A92,"'","''")&amp;"'"&amp;", "&amp;"'"&amp;SUBSTITUTE($B92,"'","''")&amp;"'"&amp;", "&amp;"'"&amp;SUBSTITUTE($C92,"'","''")&amp;"'"&amp;", HASHBYTES('SHA2_512', "&amp;"'"&amp;SUBSTITUTE($D92,"'","''")&amp;"'"&amp;"), "&amp;IF($E92="","SYSDATETIME()","'"&amp;SUBSTITUTE($E92,"'","''")&amp;"'")&amp;", "&amp;IF($F92="","1",$F92)&amp;" WHERE NOT EXISTS (SELECT 1 FROM Usuario WHERE NomeUsuario = "&amp;"'"&amp;SUBSTITUTE($A92,"'","''")&amp;"'"&amp;" OR Email = "&amp;"'"&amp;SUBSTITUTE($B92,"'","''")&amp;"'"&amp;");")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8"/>
      <c r="F93" s="26"/>
      <c r="H93" s="25" t="str">
        <f aca="false">IF($A93="","","INSERT INTO Usuario (NomeUsuario, Email, TipoUsuario, SenhaHash, DataCadastro, Ativo) SELECT "&amp;"'"&amp;SUBSTITUTE($A93,"'","''")&amp;"'"&amp;", "&amp;"'"&amp;SUBSTITUTE($B93,"'","''")&amp;"'"&amp;", "&amp;"'"&amp;SUBSTITUTE($C93,"'","''")&amp;"'"&amp;", HASHBYTES('SHA2_512', "&amp;"'"&amp;SUBSTITUTE($D93,"'","''")&amp;"'"&amp;"), "&amp;IF($E93="","SYSDATETIME()","'"&amp;SUBSTITUTE($E93,"'","''")&amp;"'")&amp;", "&amp;IF($F93="","1",$F93)&amp;" WHERE NOT EXISTS (SELECT 1 FROM Usuario WHERE NomeUsuario = "&amp;"'"&amp;SUBSTITUTE($A93,"'","''")&amp;"'"&amp;" OR Email = "&amp;"'"&amp;SUBSTITUTE($B93,"'","''")&amp;"'"&amp;");")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8"/>
      <c r="F94" s="26"/>
      <c r="H94" s="25" t="str">
        <f aca="false">IF($A94="","","INSERT INTO Usuario (NomeUsuario, Email, TipoUsuario, SenhaHash, DataCadastro, Ativo) SELECT "&amp;"'"&amp;SUBSTITUTE($A94,"'","''")&amp;"'"&amp;", "&amp;"'"&amp;SUBSTITUTE($B94,"'","''")&amp;"'"&amp;", "&amp;"'"&amp;SUBSTITUTE($C94,"'","''")&amp;"'"&amp;", HASHBYTES('SHA2_512', "&amp;"'"&amp;SUBSTITUTE($D94,"'","''")&amp;"'"&amp;"), "&amp;IF($E94="","SYSDATETIME()","'"&amp;SUBSTITUTE($E94,"'","''")&amp;"'")&amp;", "&amp;IF($F94="","1",$F94)&amp;" WHERE NOT EXISTS (SELECT 1 FROM Usuario WHERE NomeUsuario = "&amp;"'"&amp;SUBSTITUTE($A94,"'","''")&amp;"'"&amp;" OR Email = "&amp;"'"&amp;SUBSTITUTE($B94,"'","''")&amp;"'"&amp;");")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8"/>
      <c r="F95" s="26"/>
      <c r="H95" s="25" t="str">
        <f aca="false">IF($A95="","","INSERT INTO Usuario (NomeUsuario, Email, TipoUsuario, SenhaHash, DataCadastro, Ativo) SELECT "&amp;"'"&amp;SUBSTITUTE($A95,"'","''")&amp;"'"&amp;", "&amp;"'"&amp;SUBSTITUTE($B95,"'","''")&amp;"'"&amp;", "&amp;"'"&amp;SUBSTITUTE($C95,"'","''")&amp;"'"&amp;", HASHBYTES('SHA2_512', "&amp;"'"&amp;SUBSTITUTE($D95,"'","''")&amp;"'"&amp;"), "&amp;IF($E95="","SYSDATETIME()","'"&amp;SUBSTITUTE($E95,"'","''")&amp;"'")&amp;", "&amp;IF($F95="","1",$F95)&amp;" WHERE NOT EXISTS (SELECT 1 FROM Usuario WHERE NomeUsuario = "&amp;"'"&amp;SUBSTITUTE($A95,"'","''")&amp;"'"&amp;" OR Email = "&amp;"'"&amp;SUBSTITUTE($B95,"'","''")&amp;"'"&amp;");")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8"/>
      <c r="F96" s="26"/>
      <c r="H96" s="25" t="str">
        <f aca="false">IF($A96="","","INSERT INTO Usuario (NomeUsuario, Email, TipoUsuario, SenhaHash, DataCadastro, Ativo) SELECT "&amp;"'"&amp;SUBSTITUTE($A96,"'","''")&amp;"'"&amp;", "&amp;"'"&amp;SUBSTITUTE($B96,"'","''")&amp;"'"&amp;", "&amp;"'"&amp;SUBSTITUTE($C96,"'","''")&amp;"'"&amp;", HASHBYTES('SHA2_512', "&amp;"'"&amp;SUBSTITUTE($D96,"'","''")&amp;"'"&amp;"), "&amp;IF($E96="","SYSDATETIME()","'"&amp;SUBSTITUTE($E96,"'","''")&amp;"'")&amp;", "&amp;IF($F96="","1",$F96)&amp;" WHERE NOT EXISTS (SELECT 1 FROM Usuario WHERE NomeUsuario = "&amp;"'"&amp;SUBSTITUTE($A96,"'","''")&amp;"'"&amp;" OR Email = "&amp;"'"&amp;SUBSTITUTE($B96,"'","''")&amp;"'"&amp;");")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8"/>
      <c r="F97" s="26"/>
      <c r="H97" s="25" t="str">
        <f aca="false">IF($A97="","","INSERT INTO Usuario (NomeUsuario, Email, TipoUsuario, SenhaHash, DataCadastro, Ativo) SELECT "&amp;"'"&amp;SUBSTITUTE($A97,"'","''")&amp;"'"&amp;", "&amp;"'"&amp;SUBSTITUTE($B97,"'","''")&amp;"'"&amp;", "&amp;"'"&amp;SUBSTITUTE($C97,"'","''")&amp;"'"&amp;", HASHBYTES('SHA2_512', "&amp;"'"&amp;SUBSTITUTE($D97,"'","''")&amp;"'"&amp;"), "&amp;IF($E97="","SYSDATETIME()","'"&amp;SUBSTITUTE($E97,"'","''")&amp;"'")&amp;", "&amp;IF($F97="","1",$F97)&amp;" WHERE NOT EXISTS (SELECT 1 FROM Usuario WHERE NomeUsuario = "&amp;"'"&amp;SUBSTITUTE($A97,"'","''")&amp;"'"&amp;" OR Email = "&amp;"'"&amp;SUBSTITUTE($B97,"'","''")&amp;"'"&amp;");")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8"/>
      <c r="F98" s="26"/>
      <c r="H98" s="25" t="str">
        <f aca="false">IF($A98="","","INSERT INTO Usuario (NomeUsuario, Email, TipoUsuario, SenhaHash, DataCadastro, Ativo) SELECT "&amp;"'"&amp;SUBSTITUTE($A98,"'","''")&amp;"'"&amp;", "&amp;"'"&amp;SUBSTITUTE($B98,"'","''")&amp;"'"&amp;", "&amp;"'"&amp;SUBSTITUTE($C98,"'","''")&amp;"'"&amp;", HASHBYTES('SHA2_512', "&amp;"'"&amp;SUBSTITUTE($D98,"'","''")&amp;"'"&amp;"), "&amp;IF($E98="","SYSDATETIME()","'"&amp;SUBSTITUTE($E98,"'","''")&amp;"'")&amp;", "&amp;IF($F98="","1",$F98)&amp;" WHERE NOT EXISTS (SELECT 1 FROM Usuario WHERE NomeUsuario = "&amp;"'"&amp;SUBSTITUTE($A98,"'","''")&amp;"'"&amp;" OR Email = "&amp;"'"&amp;SUBSTITUTE($B98,"'","''")&amp;"'"&amp;");")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8"/>
      <c r="F99" s="26"/>
      <c r="H99" s="25" t="str">
        <f aca="false">IF($A99="","","INSERT INTO Usuario (NomeUsuario, Email, TipoUsuario, SenhaHash, DataCadastro, Ativo) SELECT "&amp;"'"&amp;SUBSTITUTE($A99,"'","''")&amp;"'"&amp;", "&amp;"'"&amp;SUBSTITUTE($B99,"'","''")&amp;"'"&amp;", "&amp;"'"&amp;SUBSTITUTE($C99,"'","''")&amp;"'"&amp;", HASHBYTES('SHA2_512', "&amp;"'"&amp;SUBSTITUTE($D99,"'","''")&amp;"'"&amp;"), "&amp;IF($E99="","SYSDATETIME()","'"&amp;SUBSTITUTE($E99,"'","''")&amp;"'")&amp;", "&amp;IF($F99="","1",$F99)&amp;" WHERE NOT EXISTS (SELECT 1 FROM Usuario WHERE NomeUsuario = "&amp;"'"&amp;SUBSTITUTE($A99,"'","''")&amp;"'"&amp;" OR Email = "&amp;"'"&amp;SUBSTITUTE($B99,"'","''")&amp;"'"&amp;");")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8"/>
      <c r="F100" s="26"/>
      <c r="H100" s="25" t="str">
        <f aca="false">IF($A100="","","INSERT INTO Usuario (NomeUsuario, Email, TipoUsuario, SenhaHash, DataCadastro, Ativo) SELECT "&amp;"'"&amp;SUBSTITUTE($A100,"'","''")&amp;"'"&amp;", "&amp;"'"&amp;SUBSTITUTE($B100,"'","''")&amp;"'"&amp;", "&amp;"'"&amp;SUBSTITUTE($C100,"'","''")&amp;"'"&amp;", HASHBYTES('SHA2_512', "&amp;"'"&amp;SUBSTITUTE($D100,"'","''")&amp;"'"&amp;"), "&amp;IF($E100="","SYSDATETIME()","'"&amp;SUBSTITUTE($E100,"'","''")&amp;"'")&amp;", "&amp;IF($F100="","1",$F100)&amp;" WHERE NOT EXISTS (SELECT 1 FROM Usuario WHERE NomeUsuario = "&amp;"'"&amp;SUBSTITUTE($A100,"'","''")&amp;"'"&amp;" OR Email = "&amp;"'"&amp;SUBSTITUTE($B100,"'","''")&amp;"'"&amp;");")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8"/>
      <c r="F101" s="26"/>
      <c r="H101" s="25" t="str">
        <f aca="false">IF($A101="","","INSERT INTO Usuario (NomeUsuario, Email, TipoUsuario, SenhaHash, DataCadastro, Ativo) SELECT "&amp;"'"&amp;SUBSTITUTE($A101,"'","''")&amp;"'"&amp;", "&amp;"'"&amp;SUBSTITUTE($B101,"'","''")&amp;"'"&amp;", "&amp;"'"&amp;SUBSTITUTE($C101,"'","''")&amp;"'"&amp;", HASHBYTES('SHA2_512', "&amp;"'"&amp;SUBSTITUTE($D101,"'","''")&amp;"'"&amp;"), "&amp;IF($E101="","SYSDATETIME()","'"&amp;SUBSTITUTE($E101,"'","''")&amp;"'")&amp;", "&amp;IF($F101="","1",$F101)&amp;" WHERE NOT EXISTS (SELECT 1 FROM Usuario WHERE NomeUsuario = "&amp;"'"&amp;SUBSTITUTE($A101,"'","''")&amp;"'"&amp;" OR Email = "&amp;"'"&amp;SUBSTITUTE($B101,"'","''")&amp;"'"&amp;");")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8"/>
      <c r="F102" s="26"/>
      <c r="H102" s="25" t="str">
        <f aca="false">IF($A102="","","INSERT INTO Usuario (NomeUsuario, Email, TipoUsuario, SenhaHash, DataCadastro, Ativo) SELECT "&amp;"'"&amp;SUBSTITUTE($A102,"'","''")&amp;"'"&amp;", "&amp;"'"&amp;SUBSTITUTE($B102,"'","''")&amp;"'"&amp;", "&amp;"'"&amp;SUBSTITUTE($C102,"'","''")&amp;"'"&amp;", HASHBYTES('SHA2_512', "&amp;"'"&amp;SUBSTITUTE($D102,"'","''")&amp;"'"&amp;"), "&amp;IF($E102="","SYSDATETIME()","'"&amp;SUBSTITUTE($E102,"'","''")&amp;"'")&amp;", "&amp;IF($F102="","1",$F102)&amp;" WHERE NOT EXISTS (SELECT 1 FROM Usuario WHERE NomeUsuario = "&amp;"'"&amp;SUBSTITUTE($A102,"'","''")&amp;"'"&amp;" OR Email = "&amp;"'"&amp;SUBSTITUTE($B102,"'","''")&amp;"'"&amp;");")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8"/>
      <c r="F103" s="26"/>
      <c r="H103" s="25" t="str">
        <f aca="false">IF($A103="","","INSERT INTO Usuario (NomeUsuario, Email, TipoUsuario, SenhaHash, DataCadastro, Ativo) SELECT "&amp;"'"&amp;SUBSTITUTE($A103,"'","''")&amp;"'"&amp;", "&amp;"'"&amp;SUBSTITUTE($B103,"'","''")&amp;"'"&amp;", "&amp;"'"&amp;SUBSTITUTE($C103,"'","''")&amp;"'"&amp;", HASHBYTES('SHA2_512', "&amp;"'"&amp;SUBSTITUTE($D103,"'","''")&amp;"'"&amp;"), "&amp;IF($E103="","SYSDATETIME()","'"&amp;SUBSTITUTE($E103,"'","''")&amp;"'")&amp;", "&amp;IF($F103="","1",$F103)&amp;" WHERE NOT EXISTS (SELECT 1 FROM Usuario WHERE NomeUsuario = "&amp;"'"&amp;SUBSTITUTE($A103,"'","''")&amp;"'"&amp;" OR Email = "&amp;"'"&amp;SUBSTITUTE($B103,"'","''")&amp;"'"&amp;");")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8"/>
      <c r="F104" s="26"/>
      <c r="H104" s="25" t="str">
        <f aca="false">IF($A104="","","INSERT INTO Usuario (NomeUsuario, Email, TipoUsuario, SenhaHash, DataCadastro, Ativo) SELECT "&amp;"'"&amp;SUBSTITUTE($A104,"'","''")&amp;"'"&amp;", "&amp;"'"&amp;SUBSTITUTE($B104,"'","''")&amp;"'"&amp;", "&amp;"'"&amp;SUBSTITUTE($C104,"'","''")&amp;"'"&amp;", HASHBYTES('SHA2_512', "&amp;"'"&amp;SUBSTITUTE($D104,"'","''")&amp;"'"&amp;"), "&amp;IF($E104="","SYSDATETIME()","'"&amp;SUBSTITUTE($E104,"'","''")&amp;"'")&amp;", "&amp;IF($F104="","1",$F104)&amp;" WHERE NOT EXISTS (SELECT 1 FROM Usuario WHERE NomeUsuario = "&amp;"'"&amp;SUBSTITUTE($A104,"'","''")&amp;"'"&amp;" OR Email = "&amp;"'"&amp;SUBSTITUTE($B104,"'","''")&amp;"'"&amp;");")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8"/>
      <c r="F105" s="26"/>
      <c r="H105" s="25" t="str">
        <f aca="false">IF($A105="","","INSERT INTO Usuario (NomeUsuario, Email, TipoUsuario, SenhaHash, DataCadastro, Ativo) SELECT "&amp;"'"&amp;SUBSTITUTE($A105,"'","''")&amp;"'"&amp;", "&amp;"'"&amp;SUBSTITUTE($B105,"'","''")&amp;"'"&amp;", "&amp;"'"&amp;SUBSTITUTE($C105,"'","''")&amp;"'"&amp;", HASHBYTES('SHA2_512', "&amp;"'"&amp;SUBSTITUTE($D105,"'","''")&amp;"'"&amp;"), "&amp;IF($E105="","SYSDATETIME()","'"&amp;SUBSTITUTE($E105,"'","''")&amp;"'")&amp;", "&amp;IF($F105="","1",$F105)&amp;" WHERE NOT EXISTS (SELECT 1 FROM Usuario WHERE NomeUsuario = "&amp;"'"&amp;SUBSTITUTE($A105,"'","''")&amp;"'"&amp;" OR Email = "&amp;"'"&amp;SUBSTITUTE($B105,"'","''")&amp;"'"&amp;");")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8"/>
      <c r="F106" s="26"/>
      <c r="H106" s="25" t="str">
        <f aca="false">IF($A106="","","INSERT INTO Usuario (NomeUsuario, Email, TipoUsuario, SenhaHash, DataCadastro, Ativo) SELECT "&amp;"'"&amp;SUBSTITUTE($A106,"'","''")&amp;"'"&amp;", "&amp;"'"&amp;SUBSTITUTE($B106,"'","''")&amp;"'"&amp;", "&amp;"'"&amp;SUBSTITUTE($C106,"'","''")&amp;"'"&amp;", HASHBYTES('SHA2_512', "&amp;"'"&amp;SUBSTITUTE($D106,"'","''")&amp;"'"&amp;"), "&amp;IF($E106="","SYSDATETIME()","'"&amp;SUBSTITUTE($E106,"'","''")&amp;"'")&amp;", "&amp;IF($F106="","1",$F106)&amp;" WHERE NOT EXISTS (SELECT 1 FROM Usuario WHERE NomeUsuario = "&amp;"'"&amp;SUBSTITUTE($A106,"'","''")&amp;"'"&amp;" OR Email = "&amp;"'"&amp;SUBSTITUTE($B106,"'","''")&amp;"'"&amp;");")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8"/>
      <c r="F107" s="26"/>
      <c r="H107" s="25" t="str">
        <f aca="false">IF($A107="","","INSERT INTO Usuario (NomeUsuario, Email, TipoUsuario, SenhaHash, DataCadastro, Ativo) SELECT "&amp;"'"&amp;SUBSTITUTE($A107,"'","''")&amp;"'"&amp;", "&amp;"'"&amp;SUBSTITUTE($B107,"'","''")&amp;"'"&amp;", "&amp;"'"&amp;SUBSTITUTE($C107,"'","''")&amp;"'"&amp;", HASHBYTES('SHA2_512', "&amp;"'"&amp;SUBSTITUTE($D107,"'","''")&amp;"'"&amp;"), "&amp;IF($E107="","SYSDATETIME()","'"&amp;SUBSTITUTE($E107,"'","''")&amp;"'")&amp;", "&amp;IF($F107="","1",$F107)&amp;" WHERE NOT EXISTS (SELECT 1 FROM Usuario WHERE NomeUsuario = "&amp;"'"&amp;SUBSTITUTE($A107,"'","''")&amp;"'"&amp;" OR Email = "&amp;"'"&amp;SUBSTITUTE($B107,"'","''")&amp;"'"&amp;");")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8"/>
      <c r="F108" s="26"/>
      <c r="H108" s="25" t="str">
        <f aca="false">IF($A108="","","INSERT INTO Usuario (NomeUsuario, Email, TipoUsuario, SenhaHash, DataCadastro, Ativo) SELECT "&amp;"'"&amp;SUBSTITUTE($A108,"'","''")&amp;"'"&amp;", "&amp;"'"&amp;SUBSTITUTE($B108,"'","''")&amp;"'"&amp;", "&amp;"'"&amp;SUBSTITUTE($C108,"'","''")&amp;"'"&amp;", HASHBYTES('SHA2_512', "&amp;"'"&amp;SUBSTITUTE($D108,"'","''")&amp;"'"&amp;"), "&amp;IF($E108="","SYSDATETIME()","'"&amp;SUBSTITUTE($E108,"'","''")&amp;"'")&amp;", "&amp;IF($F108="","1",$F108)&amp;" WHERE NOT EXISTS (SELECT 1 FROM Usuario WHERE NomeUsuario = "&amp;"'"&amp;SUBSTITUTE($A108,"'","''")&amp;"'"&amp;" OR Email = "&amp;"'"&amp;SUBSTITUTE($B108,"'","''")&amp;"'"&amp;");")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8"/>
      <c r="F109" s="26"/>
      <c r="H109" s="25" t="str">
        <f aca="false">IF($A109="","","INSERT INTO Usuario (NomeUsuario, Email, TipoUsuario, SenhaHash, DataCadastro, Ativo) SELECT "&amp;"'"&amp;SUBSTITUTE($A109,"'","''")&amp;"'"&amp;", "&amp;"'"&amp;SUBSTITUTE($B109,"'","''")&amp;"'"&amp;", "&amp;"'"&amp;SUBSTITUTE($C109,"'","''")&amp;"'"&amp;", HASHBYTES('SHA2_512', "&amp;"'"&amp;SUBSTITUTE($D109,"'","''")&amp;"'"&amp;"), "&amp;IF($E109="","SYSDATETIME()","'"&amp;SUBSTITUTE($E109,"'","''")&amp;"'")&amp;", "&amp;IF($F109="","1",$F109)&amp;" WHERE NOT EXISTS (SELECT 1 FROM Usuario WHERE NomeUsuario = "&amp;"'"&amp;SUBSTITUTE($A109,"'","''")&amp;"'"&amp;" OR Email = "&amp;"'"&amp;SUBSTITUTE($B109,"'","''")&amp;"'"&amp;");")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8"/>
      <c r="F110" s="26"/>
      <c r="H110" s="25" t="str">
        <f aca="false">IF($A110="","","INSERT INTO Usuario (NomeUsuario, Email, TipoUsuario, SenhaHash, DataCadastro, Ativo) SELECT "&amp;"'"&amp;SUBSTITUTE($A110,"'","''")&amp;"'"&amp;", "&amp;"'"&amp;SUBSTITUTE($B110,"'","''")&amp;"'"&amp;", "&amp;"'"&amp;SUBSTITUTE($C110,"'","''")&amp;"'"&amp;", HASHBYTES('SHA2_512', "&amp;"'"&amp;SUBSTITUTE($D110,"'","''")&amp;"'"&amp;"), "&amp;IF($E110="","SYSDATETIME()","'"&amp;SUBSTITUTE($E110,"'","''")&amp;"'")&amp;", "&amp;IF($F110="","1",$F110)&amp;" WHERE NOT EXISTS (SELECT 1 FROM Usuario WHERE NomeUsuario = "&amp;"'"&amp;SUBSTITUTE($A110,"'","''")&amp;"'"&amp;" OR Email = "&amp;"'"&amp;SUBSTITUTE($B110,"'","''")&amp;"'"&amp;");")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8"/>
      <c r="F111" s="26"/>
      <c r="H111" s="25" t="str">
        <f aca="false">IF($A111="","","INSERT INTO Usuario (NomeUsuario, Email, TipoUsuario, SenhaHash, DataCadastro, Ativo) SELECT "&amp;"'"&amp;SUBSTITUTE($A111,"'","''")&amp;"'"&amp;", "&amp;"'"&amp;SUBSTITUTE($B111,"'","''")&amp;"'"&amp;", "&amp;"'"&amp;SUBSTITUTE($C111,"'","''")&amp;"'"&amp;", HASHBYTES('SHA2_512', "&amp;"'"&amp;SUBSTITUTE($D111,"'","''")&amp;"'"&amp;"), "&amp;IF($E111="","SYSDATETIME()","'"&amp;SUBSTITUTE($E111,"'","''")&amp;"'")&amp;", "&amp;IF($F111="","1",$F111)&amp;" WHERE NOT EXISTS (SELECT 1 FROM Usuario WHERE NomeUsuario = "&amp;"'"&amp;SUBSTITUTE($A111,"'","''")&amp;"'"&amp;" OR Email = "&amp;"'"&amp;SUBSTITUTE($B111,"'","''")&amp;"'"&amp;");")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8"/>
      <c r="F112" s="26"/>
      <c r="H112" s="25" t="str">
        <f aca="false">IF($A112="","","INSERT INTO Usuario (NomeUsuario, Email, TipoUsuario, SenhaHash, DataCadastro, Ativo) SELECT "&amp;"'"&amp;SUBSTITUTE($A112,"'","''")&amp;"'"&amp;", "&amp;"'"&amp;SUBSTITUTE($B112,"'","''")&amp;"'"&amp;", "&amp;"'"&amp;SUBSTITUTE($C112,"'","''")&amp;"'"&amp;", HASHBYTES('SHA2_512', "&amp;"'"&amp;SUBSTITUTE($D112,"'","''")&amp;"'"&amp;"), "&amp;IF($E112="","SYSDATETIME()","'"&amp;SUBSTITUTE($E112,"'","''")&amp;"'")&amp;", "&amp;IF($F112="","1",$F112)&amp;" WHERE NOT EXISTS (SELECT 1 FROM Usuario WHERE NomeUsuario = "&amp;"'"&amp;SUBSTITUTE($A112,"'","''")&amp;"'"&amp;" OR Email = "&amp;"'"&amp;SUBSTITUTE($B112,"'","''")&amp;"'"&amp;");")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8"/>
      <c r="F113" s="26"/>
      <c r="H113" s="25" t="str">
        <f aca="false">IF($A113="","","INSERT INTO Usuario (NomeUsuario, Email, TipoUsuario, SenhaHash, DataCadastro, Ativo) SELECT "&amp;"'"&amp;SUBSTITUTE($A113,"'","''")&amp;"'"&amp;", "&amp;"'"&amp;SUBSTITUTE($B113,"'","''")&amp;"'"&amp;", "&amp;"'"&amp;SUBSTITUTE($C113,"'","''")&amp;"'"&amp;", HASHBYTES('SHA2_512', "&amp;"'"&amp;SUBSTITUTE($D113,"'","''")&amp;"'"&amp;"), "&amp;IF($E113="","SYSDATETIME()","'"&amp;SUBSTITUTE($E113,"'","''")&amp;"'")&amp;", "&amp;IF($F113="","1",$F113)&amp;" WHERE NOT EXISTS (SELECT 1 FROM Usuario WHERE NomeUsuario = "&amp;"'"&amp;SUBSTITUTE($A113,"'","''")&amp;"'"&amp;" OR Email = "&amp;"'"&amp;SUBSTITUTE($B113,"'","''")&amp;"'"&amp;");")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8"/>
      <c r="F114" s="26"/>
      <c r="H114" s="25" t="str">
        <f aca="false">IF($A114="","","INSERT INTO Usuario (NomeUsuario, Email, TipoUsuario, SenhaHash, DataCadastro, Ativo) SELECT "&amp;"'"&amp;SUBSTITUTE($A114,"'","''")&amp;"'"&amp;", "&amp;"'"&amp;SUBSTITUTE($B114,"'","''")&amp;"'"&amp;", "&amp;"'"&amp;SUBSTITUTE($C114,"'","''")&amp;"'"&amp;", HASHBYTES('SHA2_512', "&amp;"'"&amp;SUBSTITUTE($D114,"'","''")&amp;"'"&amp;"), "&amp;IF($E114="","SYSDATETIME()","'"&amp;SUBSTITUTE($E114,"'","''")&amp;"'")&amp;", "&amp;IF($F114="","1",$F114)&amp;" WHERE NOT EXISTS (SELECT 1 FROM Usuario WHERE NomeUsuario = "&amp;"'"&amp;SUBSTITUTE($A114,"'","''")&amp;"'"&amp;" OR Email = "&amp;"'"&amp;SUBSTITUTE($B114,"'","''")&amp;"'"&amp;");")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8"/>
      <c r="F115" s="26"/>
      <c r="H115" s="25" t="str">
        <f aca="false">IF($A115="","","INSERT INTO Usuario (NomeUsuario, Email, TipoUsuario, SenhaHash, DataCadastro, Ativo) SELECT "&amp;"'"&amp;SUBSTITUTE($A115,"'","''")&amp;"'"&amp;", "&amp;"'"&amp;SUBSTITUTE($B115,"'","''")&amp;"'"&amp;", "&amp;"'"&amp;SUBSTITUTE($C115,"'","''")&amp;"'"&amp;", HASHBYTES('SHA2_512', "&amp;"'"&amp;SUBSTITUTE($D115,"'","''")&amp;"'"&amp;"), "&amp;IF($E115="","SYSDATETIME()","'"&amp;SUBSTITUTE($E115,"'","''")&amp;"'")&amp;", "&amp;IF($F115="","1",$F115)&amp;" WHERE NOT EXISTS (SELECT 1 FROM Usuario WHERE NomeUsuario = "&amp;"'"&amp;SUBSTITUTE($A115,"'","''")&amp;"'"&amp;" OR Email = "&amp;"'"&amp;SUBSTITUTE($B115,"'","''")&amp;"'"&amp;");")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8"/>
      <c r="F116" s="26"/>
      <c r="H116" s="25" t="str">
        <f aca="false">IF($A116="","","INSERT INTO Usuario (NomeUsuario, Email, TipoUsuario, SenhaHash, DataCadastro, Ativo) SELECT "&amp;"'"&amp;SUBSTITUTE($A116,"'","''")&amp;"'"&amp;", "&amp;"'"&amp;SUBSTITUTE($B116,"'","''")&amp;"'"&amp;", "&amp;"'"&amp;SUBSTITUTE($C116,"'","''")&amp;"'"&amp;", HASHBYTES('SHA2_512', "&amp;"'"&amp;SUBSTITUTE($D116,"'","''")&amp;"'"&amp;"), "&amp;IF($E116="","SYSDATETIME()","'"&amp;SUBSTITUTE($E116,"'","''")&amp;"'")&amp;", "&amp;IF($F116="","1",$F116)&amp;" WHERE NOT EXISTS (SELECT 1 FROM Usuario WHERE NomeUsuario = "&amp;"'"&amp;SUBSTITUTE($A116,"'","''")&amp;"'"&amp;" OR Email = "&amp;"'"&amp;SUBSTITUTE($B116,"'","''")&amp;"'"&amp;");")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8"/>
      <c r="F117" s="26"/>
      <c r="H117" s="25" t="str">
        <f aca="false">IF($A117="","","INSERT INTO Usuario (NomeUsuario, Email, TipoUsuario, SenhaHash, DataCadastro, Ativo) SELECT "&amp;"'"&amp;SUBSTITUTE($A117,"'","''")&amp;"'"&amp;", "&amp;"'"&amp;SUBSTITUTE($B117,"'","''")&amp;"'"&amp;", "&amp;"'"&amp;SUBSTITUTE($C117,"'","''")&amp;"'"&amp;", HASHBYTES('SHA2_512', "&amp;"'"&amp;SUBSTITUTE($D117,"'","''")&amp;"'"&amp;"), "&amp;IF($E117="","SYSDATETIME()","'"&amp;SUBSTITUTE($E117,"'","''")&amp;"'")&amp;", "&amp;IF($F117="","1",$F117)&amp;" WHERE NOT EXISTS (SELECT 1 FROM Usuario WHERE NomeUsuario = "&amp;"'"&amp;SUBSTITUTE($A117,"'","''")&amp;"'"&amp;" OR Email = "&amp;"'"&amp;SUBSTITUTE($B117,"'","''")&amp;"'"&amp;");")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8"/>
      <c r="F118" s="26"/>
      <c r="H118" s="25" t="str">
        <f aca="false">IF($A118="","","INSERT INTO Usuario (NomeUsuario, Email, TipoUsuario, SenhaHash, DataCadastro, Ativo) SELECT "&amp;"'"&amp;SUBSTITUTE($A118,"'","''")&amp;"'"&amp;", "&amp;"'"&amp;SUBSTITUTE($B118,"'","''")&amp;"'"&amp;", "&amp;"'"&amp;SUBSTITUTE($C118,"'","''")&amp;"'"&amp;", HASHBYTES('SHA2_512', "&amp;"'"&amp;SUBSTITUTE($D118,"'","''")&amp;"'"&amp;"), "&amp;IF($E118="","SYSDATETIME()","'"&amp;SUBSTITUTE($E118,"'","''")&amp;"'")&amp;", "&amp;IF($F118="","1",$F118)&amp;" WHERE NOT EXISTS (SELECT 1 FROM Usuario WHERE NomeUsuario = "&amp;"'"&amp;SUBSTITUTE($A118,"'","''")&amp;"'"&amp;" OR Email = "&amp;"'"&amp;SUBSTITUTE($B118,"'","''")&amp;"'"&amp;");")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8"/>
      <c r="F119" s="26"/>
      <c r="H119" s="25" t="str">
        <f aca="false">IF($A119="","","INSERT INTO Usuario (NomeUsuario, Email, TipoUsuario, SenhaHash, DataCadastro, Ativo) SELECT "&amp;"'"&amp;SUBSTITUTE($A119,"'","''")&amp;"'"&amp;", "&amp;"'"&amp;SUBSTITUTE($B119,"'","''")&amp;"'"&amp;", "&amp;"'"&amp;SUBSTITUTE($C119,"'","''")&amp;"'"&amp;", HASHBYTES('SHA2_512', "&amp;"'"&amp;SUBSTITUTE($D119,"'","''")&amp;"'"&amp;"), "&amp;IF($E119="","SYSDATETIME()","'"&amp;SUBSTITUTE($E119,"'","''")&amp;"'")&amp;", "&amp;IF($F119="","1",$F119)&amp;" WHERE NOT EXISTS (SELECT 1 FROM Usuario WHERE NomeUsuario = "&amp;"'"&amp;SUBSTITUTE($A119,"'","''")&amp;"'"&amp;" OR Email = "&amp;"'"&amp;SUBSTITUTE($B119,"'","''")&amp;"'"&amp;");")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8"/>
      <c r="F120" s="26"/>
      <c r="H120" s="25" t="str">
        <f aca="false">IF($A120="","","INSERT INTO Usuario (NomeUsuario, Email, TipoUsuario, SenhaHash, DataCadastro, Ativo) SELECT "&amp;"'"&amp;SUBSTITUTE($A120,"'","''")&amp;"'"&amp;", "&amp;"'"&amp;SUBSTITUTE($B120,"'","''")&amp;"'"&amp;", "&amp;"'"&amp;SUBSTITUTE($C120,"'","''")&amp;"'"&amp;", HASHBYTES('SHA2_512', "&amp;"'"&amp;SUBSTITUTE($D120,"'","''")&amp;"'"&amp;"), "&amp;IF($E120="","SYSDATETIME()","'"&amp;SUBSTITUTE($E120,"'","''")&amp;"'")&amp;", "&amp;IF($F120="","1",$F120)&amp;" WHERE NOT EXISTS (SELECT 1 FROM Usuario WHERE NomeUsuario = "&amp;"'"&amp;SUBSTITUTE($A120,"'","''")&amp;"'"&amp;" OR Email = "&amp;"'"&amp;SUBSTITUTE($B120,"'","''")&amp;"'"&amp;");")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8"/>
      <c r="F121" s="26"/>
      <c r="H121" s="25" t="str">
        <f aca="false">IF($A121="","","INSERT INTO Usuario (NomeUsuario, Email, TipoUsuario, SenhaHash, DataCadastro, Ativo) SELECT "&amp;"'"&amp;SUBSTITUTE($A121,"'","''")&amp;"'"&amp;", "&amp;"'"&amp;SUBSTITUTE($B121,"'","''")&amp;"'"&amp;", "&amp;"'"&amp;SUBSTITUTE($C121,"'","''")&amp;"'"&amp;", HASHBYTES('SHA2_512', "&amp;"'"&amp;SUBSTITUTE($D121,"'","''")&amp;"'"&amp;"), "&amp;IF($E121="","SYSDATETIME()","'"&amp;SUBSTITUTE($E121,"'","''")&amp;"'")&amp;", "&amp;IF($F121="","1",$F121)&amp;" WHERE NOT EXISTS (SELECT 1 FROM Usuario WHERE NomeUsuario = "&amp;"'"&amp;SUBSTITUTE($A121,"'","''")&amp;"'"&amp;" OR Email = "&amp;"'"&amp;SUBSTITUTE($B121,"'","''")&amp;"'"&amp;");")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8"/>
      <c r="F122" s="26"/>
      <c r="H122" s="25" t="str">
        <f aca="false">IF($A122="","","INSERT INTO Usuario (NomeUsuario, Email, TipoUsuario, SenhaHash, DataCadastro, Ativo) SELECT "&amp;"'"&amp;SUBSTITUTE($A122,"'","''")&amp;"'"&amp;", "&amp;"'"&amp;SUBSTITUTE($B122,"'","''")&amp;"'"&amp;", "&amp;"'"&amp;SUBSTITUTE($C122,"'","''")&amp;"'"&amp;", HASHBYTES('SHA2_512', "&amp;"'"&amp;SUBSTITUTE($D122,"'","''")&amp;"'"&amp;"), "&amp;IF($E122="","SYSDATETIME()","'"&amp;SUBSTITUTE($E122,"'","''")&amp;"'")&amp;", "&amp;IF($F122="","1",$F122)&amp;" WHERE NOT EXISTS (SELECT 1 FROM Usuario WHERE NomeUsuario = "&amp;"'"&amp;SUBSTITUTE($A122,"'","''")&amp;"'"&amp;" OR Email = "&amp;"'"&amp;SUBSTITUTE($B122,"'","''")&amp;"'"&amp;");")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8"/>
      <c r="F123" s="26"/>
      <c r="H123" s="25" t="str">
        <f aca="false">IF($A123="","","INSERT INTO Usuario (NomeUsuario, Email, TipoUsuario, SenhaHash, DataCadastro, Ativo) SELECT "&amp;"'"&amp;SUBSTITUTE($A123,"'","''")&amp;"'"&amp;", "&amp;"'"&amp;SUBSTITUTE($B123,"'","''")&amp;"'"&amp;", "&amp;"'"&amp;SUBSTITUTE($C123,"'","''")&amp;"'"&amp;", HASHBYTES('SHA2_512', "&amp;"'"&amp;SUBSTITUTE($D123,"'","''")&amp;"'"&amp;"), "&amp;IF($E123="","SYSDATETIME()","'"&amp;SUBSTITUTE($E123,"'","''")&amp;"'")&amp;", "&amp;IF($F123="","1",$F123)&amp;" WHERE NOT EXISTS (SELECT 1 FROM Usuario WHERE NomeUsuario = "&amp;"'"&amp;SUBSTITUTE($A123,"'","''")&amp;"'"&amp;" OR Email = "&amp;"'"&amp;SUBSTITUTE($B123,"'","''")&amp;"'"&amp;");")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8"/>
      <c r="F124" s="26"/>
      <c r="H124" s="25" t="str">
        <f aca="false">IF($A124="","","INSERT INTO Usuario (NomeUsuario, Email, TipoUsuario, SenhaHash, DataCadastro, Ativo) SELECT "&amp;"'"&amp;SUBSTITUTE($A124,"'","''")&amp;"'"&amp;", "&amp;"'"&amp;SUBSTITUTE($B124,"'","''")&amp;"'"&amp;", "&amp;"'"&amp;SUBSTITUTE($C124,"'","''")&amp;"'"&amp;", HASHBYTES('SHA2_512', "&amp;"'"&amp;SUBSTITUTE($D124,"'","''")&amp;"'"&amp;"), "&amp;IF($E124="","SYSDATETIME()","'"&amp;SUBSTITUTE($E124,"'","''")&amp;"'")&amp;", "&amp;IF($F124="","1",$F124)&amp;" WHERE NOT EXISTS (SELECT 1 FROM Usuario WHERE NomeUsuario = "&amp;"'"&amp;SUBSTITUTE($A124,"'","''")&amp;"'"&amp;" OR Email = "&amp;"'"&amp;SUBSTITUTE($B124,"'","''")&amp;"'"&amp;");")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8"/>
      <c r="F125" s="26"/>
      <c r="H125" s="25" t="str">
        <f aca="false">IF($A125="","","INSERT INTO Usuario (NomeUsuario, Email, TipoUsuario, SenhaHash, DataCadastro, Ativo) SELECT "&amp;"'"&amp;SUBSTITUTE($A125,"'","''")&amp;"'"&amp;", "&amp;"'"&amp;SUBSTITUTE($B125,"'","''")&amp;"'"&amp;", "&amp;"'"&amp;SUBSTITUTE($C125,"'","''")&amp;"'"&amp;", HASHBYTES('SHA2_512', "&amp;"'"&amp;SUBSTITUTE($D125,"'","''")&amp;"'"&amp;"), "&amp;IF($E125="","SYSDATETIME()","'"&amp;SUBSTITUTE($E125,"'","''")&amp;"'")&amp;", "&amp;IF($F125="","1",$F125)&amp;" WHERE NOT EXISTS (SELECT 1 FROM Usuario WHERE NomeUsuario = "&amp;"'"&amp;SUBSTITUTE($A125,"'","''")&amp;"'"&amp;" OR Email = "&amp;"'"&amp;SUBSTITUTE($B125,"'","''")&amp;"'"&amp;");")</f>
        <v/>
      </c>
    </row>
    <row r="126" customFormat="false" ht="15" hidden="false" customHeight="false" outlineLevel="0" collapsed="false">
      <c r="A126" s="26"/>
      <c r="B126" s="26"/>
      <c r="C126" s="26"/>
      <c r="D126" s="26"/>
      <c r="E126" s="28"/>
      <c r="F126" s="26"/>
      <c r="H126" s="25" t="str">
        <f aca="false">IF($A126="","","INSERT INTO Usuario (NomeUsuario, Email, TipoUsuario, SenhaHash, DataCadastro, Ativo) SELECT "&amp;"'"&amp;SUBSTITUTE($A126,"'","''")&amp;"'"&amp;", "&amp;"'"&amp;SUBSTITUTE($B126,"'","''")&amp;"'"&amp;", "&amp;"'"&amp;SUBSTITUTE($C126,"'","''")&amp;"'"&amp;", HASHBYTES('SHA2_512', "&amp;"'"&amp;SUBSTITUTE($D126,"'","''")&amp;"'"&amp;"), "&amp;IF($E126="","SYSDATETIME()","'"&amp;SUBSTITUTE($E126,"'","''")&amp;"'")&amp;", "&amp;IF($F126="","1",$F126)&amp;" WHERE NOT EXISTS (SELECT 1 FROM Usuario WHERE NomeUsuario = "&amp;"'"&amp;SUBSTITUTE($A126,"'","''")&amp;"'"&amp;" OR Email = "&amp;"'"&amp;SUBSTITUTE($B126,"'","''")&amp;"'"&amp;");")</f>
        <v/>
      </c>
    </row>
    <row r="127" customFormat="false" ht="15" hidden="false" customHeight="false" outlineLevel="0" collapsed="false">
      <c r="A127" s="26"/>
      <c r="B127" s="26"/>
      <c r="C127" s="26"/>
      <c r="D127" s="26"/>
      <c r="E127" s="28"/>
      <c r="F127" s="26"/>
      <c r="H127" s="25" t="str">
        <f aca="false">IF($A127="","","INSERT INTO Usuario (NomeUsuario, Email, TipoUsuario, SenhaHash, DataCadastro, Ativo) SELECT "&amp;"'"&amp;SUBSTITUTE($A127,"'","''")&amp;"'"&amp;", "&amp;"'"&amp;SUBSTITUTE($B127,"'","''")&amp;"'"&amp;", "&amp;"'"&amp;SUBSTITUTE($C127,"'","''")&amp;"'"&amp;", HASHBYTES('SHA2_512', "&amp;"'"&amp;SUBSTITUTE($D127,"'","''")&amp;"'"&amp;"), "&amp;IF($E127="","SYSDATETIME()","'"&amp;SUBSTITUTE($E127,"'","''")&amp;"'")&amp;", "&amp;IF($F127="","1",$F127)&amp;" WHERE NOT EXISTS (SELECT 1 FROM Usuario WHERE NomeUsuario = "&amp;"'"&amp;SUBSTITUTE($A127,"'","''")&amp;"'"&amp;" OR Email = "&amp;"'"&amp;SUBSTITUTE($B127,"'","''")&amp;"'"&amp;");")</f>
        <v/>
      </c>
    </row>
    <row r="128" customFormat="false" ht="15" hidden="false" customHeight="false" outlineLevel="0" collapsed="false">
      <c r="A128" s="26"/>
      <c r="B128" s="26"/>
      <c r="C128" s="26"/>
      <c r="D128" s="26"/>
      <c r="E128" s="28"/>
      <c r="F128" s="26"/>
      <c r="H128" s="25" t="str">
        <f aca="false">IF($A128="","","INSERT INTO Usuario (NomeUsuario, Email, TipoUsuario, SenhaHash, DataCadastro, Ativo) SELECT "&amp;"'"&amp;SUBSTITUTE($A128,"'","''")&amp;"'"&amp;", "&amp;"'"&amp;SUBSTITUTE($B128,"'","''")&amp;"'"&amp;", "&amp;"'"&amp;SUBSTITUTE($C128,"'","''")&amp;"'"&amp;", HASHBYTES('SHA2_512', "&amp;"'"&amp;SUBSTITUTE($D128,"'","''")&amp;"'"&amp;"), "&amp;IF($E128="","SYSDATETIME()","'"&amp;SUBSTITUTE($E128,"'","''")&amp;"'")&amp;", "&amp;IF($F128="","1",$F128)&amp;" WHERE NOT EXISTS (SELECT 1 FROM Usuario WHERE NomeUsuario = "&amp;"'"&amp;SUBSTITUTE($A128,"'","''")&amp;"'"&amp;" OR Email = "&amp;"'"&amp;SUBSTITUTE($B128,"'","''")&amp;"'"&amp;");")</f>
        <v/>
      </c>
    </row>
    <row r="129" customFormat="false" ht="15" hidden="false" customHeight="false" outlineLevel="0" collapsed="false">
      <c r="A129" s="26"/>
      <c r="B129" s="26"/>
      <c r="C129" s="26"/>
      <c r="D129" s="26"/>
      <c r="E129" s="28"/>
      <c r="F129" s="26"/>
      <c r="H129" s="25" t="str">
        <f aca="false">IF($A129="","","INSERT INTO Usuario (NomeUsuario, Email, TipoUsuario, SenhaHash, DataCadastro, Ativo) SELECT "&amp;"'"&amp;SUBSTITUTE($A129,"'","''")&amp;"'"&amp;", "&amp;"'"&amp;SUBSTITUTE($B129,"'","''")&amp;"'"&amp;", "&amp;"'"&amp;SUBSTITUTE($C129,"'","''")&amp;"'"&amp;", HASHBYTES('SHA2_512', "&amp;"'"&amp;SUBSTITUTE($D129,"'","''")&amp;"'"&amp;"), "&amp;IF($E129="","SYSDATETIME()","'"&amp;SUBSTITUTE($E129,"'","''")&amp;"'")&amp;", "&amp;IF($F129="","1",$F129)&amp;" WHERE NOT EXISTS (SELECT 1 FROM Usuario WHERE NomeUsuario = "&amp;"'"&amp;SUBSTITUTE($A129,"'","''")&amp;"'"&amp;" OR Email = "&amp;"'"&amp;SUBSTITUTE($B129,"'","''")&amp;"'"&amp;");")</f>
        <v/>
      </c>
    </row>
    <row r="130" customFormat="false" ht="15" hidden="false" customHeight="false" outlineLevel="0" collapsed="false">
      <c r="A130" s="26"/>
      <c r="B130" s="26"/>
      <c r="C130" s="26"/>
      <c r="D130" s="26"/>
      <c r="E130" s="28"/>
      <c r="F130" s="26"/>
      <c r="H130" s="25" t="str">
        <f aca="false">IF($A130="","","INSERT INTO Usuario (NomeUsuario, Email, TipoUsuario, SenhaHash, DataCadastro, Ativo) SELECT "&amp;"'"&amp;SUBSTITUTE($A130,"'","''")&amp;"'"&amp;", "&amp;"'"&amp;SUBSTITUTE($B130,"'","''")&amp;"'"&amp;", "&amp;"'"&amp;SUBSTITUTE($C130,"'","''")&amp;"'"&amp;", HASHBYTES('SHA2_512', "&amp;"'"&amp;SUBSTITUTE($D130,"'","''")&amp;"'"&amp;"), "&amp;IF($E130="","SYSDATETIME()","'"&amp;SUBSTITUTE($E130,"'","''")&amp;"'")&amp;", "&amp;IF($F130="","1",$F130)&amp;" WHERE NOT EXISTS (SELECT 1 FROM Usuario WHERE NomeUsuario = "&amp;"'"&amp;SUBSTITUTE($A130,"'","''")&amp;"'"&amp;" OR Email = "&amp;"'"&amp;SUBSTITUTE($B130,"'","''")&amp;"'"&amp;");")</f>
        <v/>
      </c>
    </row>
    <row r="131" customFormat="false" ht="15" hidden="false" customHeight="false" outlineLevel="0" collapsed="false">
      <c r="A131" s="26"/>
      <c r="B131" s="26"/>
      <c r="C131" s="26"/>
      <c r="D131" s="26"/>
      <c r="E131" s="28"/>
      <c r="F131" s="26"/>
      <c r="H131" s="25" t="str">
        <f aca="false">IF($A131="","","INSERT INTO Usuario (NomeUsuario, Email, TipoUsuario, SenhaHash, DataCadastro, Ativo) SELECT "&amp;"'"&amp;SUBSTITUTE($A131,"'","''")&amp;"'"&amp;", "&amp;"'"&amp;SUBSTITUTE($B131,"'","''")&amp;"'"&amp;", "&amp;"'"&amp;SUBSTITUTE($C131,"'","''")&amp;"'"&amp;", HASHBYTES('SHA2_512', "&amp;"'"&amp;SUBSTITUTE($D131,"'","''")&amp;"'"&amp;"), "&amp;IF($E131="","SYSDATETIME()","'"&amp;SUBSTITUTE($E131,"'","''")&amp;"'")&amp;", "&amp;IF($F131="","1",$F131)&amp;" WHERE NOT EXISTS (SELECT 1 FROM Usuario WHERE NomeUsuario = "&amp;"'"&amp;SUBSTITUTE($A131,"'","''")&amp;"'"&amp;" OR Email = "&amp;"'"&amp;SUBSTITUTE($B131,"'","''")&amp;"'"&amp;");")</f>
        <v/>
      </c>
    </row>
    <row r="132" customFormat="false" ht="15" hidden="false" customHeight="false" outlineLevel="0" collapsed="false">
      <c r="A132" s="26"/>
      <c r="B132" s="26"/>
      <c r="C132" s="26"/>
      <c r="D132" s="26"/>
      <c r="E132" s="28"/>
      <c r="F132" s="26"/>
      <c r="H132" s="25" t="str">
        <f aca="false">IF($A132="","","INSERT INTO Usuario (NomeUsuario, Email, TipoUsuario, SenhaHash, DataCadastro, Ativo) SELECT "&amp;"'"&amp;SUBSTITUTE($A132,"'","''")&amp;"'"&amp;", "&amp;"'"&amp;SUBSTITUTE($B132,"'","''")&amp;"'"&amp;", "&amp;"'"&amp;SUBSTITUTE($C132,"'","''")&amp;"'"&amp;", HASHBYTES('SHA2_512', "&amp;"'"&amp;SUBSTITUTE($D132,"'","''")&amp;"'"&amp;"), "&amp;IF($E132="","SYSDATETIME()","'"&amp;SUBSTITUTE($E132,"'","''")&amp;"'")&amp;", "&amp;IF($F132="","1",$F132)&amp;" WHERE NOT EXISTS (SELECT 1 FROM Usuario WHERE NomeUsuario = "&amp;"'"&amp;SUBSTITUTE($A132,"'","''")&amp;"'"&amp;" OR Email = "&amp;"'"&amp;SUBSTITUTE($B132,"'","''")&amp;"'"&amp;");")</f>
        <v/>
      </c>
    </row>
    <row r="133" customFormat="false" ht="15" hidden="false" customHeight="false" outlineLevel="0" collapsed="false">
      <c r="A133" s="26"/>
      <c r="B133" s="26"/>
      <c r="C133" s="26"/>
      <c r="D133" s="26"/>
      <c r="E133" s="28"/>
      <c r="F133" s="26"/>
      <c r="H133" s="25" t="str">
        <f aca="false">IF($A133="","","INSERT INTO Usuario (NomeUsuario, Email, TipoUsuario, SenhaHash, DataCadastro, Ativo) SELECT "&amp;"'"&amp;SUBSTITUTE($A133,"'","''")&amp;"'"&amp;", "&amp;"'"&amp;SUBSTITUTE($B133,"'","''")&amp;"'"&amp;", "&amp;"'"&amp;SUBSTITUTE($C133,"'","''")&amp;"'"&amp;", HASHBYTES('SHA2_512', "&amp;"'"&amp;SUBSTITUTE($D133,"'","''")&amp;"'"&amp;"), "&amp;IF($E133="","SYSDATETIME()","'"&amp;SUBSTITUTE($E133,"'","''")&amp;"'")&amp;", "&amp;IF($F133="","1",$F133)&amp;" WHERE NOT EXISTS (SELECT 1 FROM Usuario WHERE NomeUsuario = "&amp;"'"&amp;SUBSTITUTE($A133,"'","''")&amp;"'"&amp;" OR Email = "&amp;"'"&amp;SUBSTITUTE($B133,"'","''")&amp;"'"&amp;");")</f>
        <v/>
      </c>
    </row>
    <row r="134" customFormat="false" ht="15" hidden="false" customHeight="false" outlineLevel="0" collapsed="false">
      <c r="A134" s="26"/>
      <c r="B134" s="26"/>
      <c r="C134" s="26"/>
      <c r="D134" s="26"/>
      <c r="E134" s="28"/>
      <c r="F134" s="26"/>
      <c r="H134" s="25" t="str">
        <f aca="false">IF($A134="","","INSERT INTO Usuario (NomeUsuario, Email, TipoUsuario, SenhaHash, DataCadastro, Ativo) SELECT "&amp;"'"&amp;SUBSTITUTE($A134,"'","''")&amp;"'"&amp;", "&amp;"'"&amp;SUBSTITUTE($B134,"'","''")&amp;"'"&amp;", "&amp;"'"&amp;SUBSTITUTE($C134,"'","''")&amp;"'"&amp;", HASHBYTES('SHA2_512', "&amp;"'"&amp;SUBSTITUTE($D134,"'","''")&amp;"'"&amp;"), "&amp;IF($E134="","SYSDATETIME()","'"&amp;SUBSTITUTE($E134,"'","''")&amp;"'")&amp;", "&amp;IF($F134="","1",$F134)&amp;" WHERE NOT EXISTS (SELECT 1 FROM Usuario WHERE NomeUsuario = "&amp;"'"&amp;SUBSTITUTE($A134,"'","''")&amp;"'"&amp;" OR Email = "&amp;"'"&amp;SUBSTITUTE($B134,"'","''")&amp;"'"&amp;");")</f>
        <v/>
      </c>
    </row>
    <row r="135" customFormat="false" ht="15" hidden="false" customHeight="false" outlineLevel="0" collapsed="false">
      <c r="A135" s="26"/>
      <c r="B135" s="26"/>
      <c r="C135" s="26"/>
      <c r="D135" s="26"/>
      <c r="E135" s="28"/>
      <c r="F135" s="26"/>
      <c r="H135" s="25" t="str">
        <f aca="false">IF($A135="","","INSERT INTO Usuario (NomeUsuario, Email, TipoUsuario, SenhaHash, DataCadastro, Ativo) SELECT "&amp;"'"&amp;SUBSTITUTE($A135,"'","''")&amp;"'"&amp;", "&amp;"'"&amp;SUBSTITUTE($B135,"'","''")&amp;"'"&amp;", "&amp;"'"&amp;SUBSTITUTE($C135,"'","''")&amp;"'"&amp;", HASHBYTES('SHA2_512', "&amp;"'"&amp;SUBSTITUTE($D135,"'","''")&amp;"'"&amp;"), "&amp;IF($E135="","SYSDATETIME()","'"&amp;SUBSTITUTE($E135,"'","''")&amp;"'")&amp;", "&amp;IF($F135="","1",$F135)&amp;" WHERE NOT EXISTS (SELECT 1 FROM Usuario WHERE NomeUsuario = "&amp;"'"&amp;SUBSTITUTE($A135,"'","''")&amp;"'"&amp;" OR Email = "&amp;"'"&amp;SUBSTITUTE($B135,"'","''")&amp;"'"&amp;");")</f>
        <v/>
      </c>
    </row>
    <row r="136" customFormat="false" ht="15" hidden="false" customHeight="false" outlineLevel="0" collapsed="false">
      <c r="A136" s="26"/>
      <c r="B136" s="26"/>
      <c r="C136" s="26"/>
      <c r="D136" s="26"/>
      <c r="E136" s="28"/>
      <c r="F136" s="26"/>
      <c r="H136" s="25" t="str">
        <f aca="false">IF($A136="","","INSERT INTO Usuario (NomeUsuario, Email, TipoUsuario, SenhaHash, DataCadastro, Ativo) SELECT "&amp;"'"&amp;SUBSTITUTE($A136,"'","''")&amp;"'"&amp;", "&amp;"'"&amp;SUBSTITUTE($B136,"'","''")&amp;"'"&amp;", "&amp;"'"&amp;SUBSTITUTE($C136,"'","''")&amp;"'"&amp;", HASHBYTES('SHA2_512', "&amp;"'"&amp;SUBSTITUTE($D136,"'","''")&amp;"'"&amp;"), "&amp;IF($E136="","SYSDATETIME()","'"&amp;SUBSTITUTE($E136,"'","''")&amp;"'")&amp;", "&amp;IF($F136="","1",$F136)&amp;" WHERE NOT EXISTS (SELECT 1 FROM Usuario WHERE NomeUsuario = "&amp;"'"&amp;SUBSTITUTE($A136,"'","''")&amp;"'"&amp;" OR Email = "&amp;"'"&amp;SUBSTITUTE($B136,"'","''")&amp;"'"&amp;");")</f>
        <v/>
      </c>
    </row>
    <row r="137" customFormat="false" ht="15" hidden="false" customHeight="false" outlineLevel="0" collapsed="false">
      <c r="A137" s="26"/>
      <c r="B137" s="26"/>
      <c r="C137" s="26"/>
      <c r="D137" s="26"/>
      <c r="E137" s="28"/>
      <c r="F137" s="26"/>
      <c r="H137" s="25" t="str">
        <f aca="false">IF($A137="","","INSERT INTO Usuario (NomeUsuario, Email, TipoUsuario, SenhaHash, DataCadastro, Ativo) SELECT "&amp;"'"&amp;SUBSTITUTE($A137,"'","''")&amp;"'"&amp;", "&amp;"'"&amp;SUBSTITUTE($B137,"'","''")&amp;"'"&amp;", "&amp;"'"&amp;SUBSTITUTE($C137,"'","''")&amp;"'"&amp;", HASHBYTES('SHA2_512', "&amp;"'"&amp;SUBSTITUTE($D137,"'","''")&amp;"'"&amp;"), "&amp;IF($E137="","SYSDATETIME()","'"&amp;SUBSTITUTE($E137,"'","''")&amp;"'")&amp;", "&amp;IF($F137="","1",$F137)&amp;" WHERE NOT EXISTS (SELECT 1 FROM Usuario WHERE NomeUsuario = "&amp;"'"&amp;SUBSTITUTE($A137,"'","''")&amp;"'"&amp;" OR Email = "&amp;"'"&amp;SUBSTITUTE($B137,"'","''")&amp;"'"&amp;");")</f>
        <v/>
      </c>
    </row>
    <row r="138" customFormat="false" ht="15" hidden="false" customHeight="false" outlineLevel="0" collapsed="false">
      <c r="A138" s="26"/>
      <c r="B138" s="26"/>
      <c r="C138" s="26"/>
      <c r="D138" s="26"/>
      <c r="E138" s="28"/>
      <c r="F138" s="26"/>
      <c r="H138" s="25" t="str">
        <f aca="false">IF($A138="","","INSERT INTO Usuario (NomeUsuario, Email, TipoUsuario, SenhaHash, DataCadastro, Ativo) SELECT "&amp;"'"&amp;SUBSTITUTE($A138,"'","''")&amp;"'"&amp;", "&amp;"'"&amp;SUBSTITUTE($B138,"'","''")&amp;"'"&amp;", "&amp;"'"&amp;SUBSTITUTE($C138,"'","''")&amp;"'"&amp;", HASHBYTES('SHA2_512', "&amp;"'"&amp;SUBSTITUTE($D138,"'","''")&amp;"'"&amp;"), "&amp;IF($E138="","SYSDATETIME()","'"&amp;SUBSTITUTE($E138,"'","''")&amp;"'")&amp;", "&amp;IF($F138="","1",$F138)&amp;" WHERE NOT EXISTS (SELECT 1 FROM Usuario WHERE NomeUsuario = "&amp;"'"&amp;SUBSTITUTE($A138,"'","''")&amp;"'"&amp;" OR Email = "&amp;"'"&amp;SUBSTITUTE($B138,"'","''")&amp;"'"&amp;");")</f>
        <v/>
      </c>
    </row>
    <row r="139" customFormat="false" ht="15" hidden="false" customHeight="false" outlineLevel="0" collapsed="false">
      <c r="A139" s="26"/>
      <c r="B139" s="26"/>
      <c r="C139" s="26"/>
      <c r="D139" s="26"/>
      <c r="E139" s="28"/>
      <c r="F139" s="26"/>
      <c r="H139" s="25" t="str">
        <f aca="false">IF($A139="","","INSERT INTO Usuario (NomeUsuario, Email, TipoUsuario, SenhaHash, DataCadastro, Ativo) SELECT "&amp;"'"&amp;SUBSTITUTE($A139,"'","''")&amp;"'"&amp;", "&amp;"'"&amp;SUBSTITUTE($B139,"'","''")&amp;"'"&amp;", "&amp;"'"&amp;SUBSTITUTE($C139,"'","''")&amp;"'"&amp;", HASHBYTES('SHA2_512', "&amp;"'"&amp;SUBSTITUTE($D139,"'","''")&amp;"'"&amp;"), "&amp;IF($E139="","SYSDATETIME()","'"&amp;SUBSTITUTE($E139,"'","''")&amp;"'")&amp;", "&amp;IF($F139="","1",$F139)&amp;" WHERE NOT EXISTS (SELECT 1 FROM Usuario WHERE NomeUsuario = "&amp;"'"&amp;SUBSTITUTE($A139,"'","''")&amp;"'"&amp;" OR Email = "&amp;"'"&amp;SUBSTITUTE($B139,"'","''")&amp;"'"&amp;");")</f>
        <v/>
      </c>
    </row>
    <row r="140" customFormat="false" ht="15" hidden="false" customHeight="false" outlineLevel="0" collapsed="false">
      <c r="A140" s="26"/>
      <c r="B140" s="26"/>
      <c r="C140" s="26"/>
      <c r="D140" s="26"/>
      <c r="E140" s="28"/>
      <c r="F140" s="26"/>
      <c r="H140" s="25" t="str">
        <f aca="false">IF($A140="","","INSERT INTO Usuario (NomeUsuario, Email, TipoUsuario, SenhaHash, DataCadastro, Ativo) SELECT "&amp;"'"&amp;SUBSTITUTE($A140,"'","''")&amp;"'"&amp;", "&amp;"'"&amp;SUBSTITUTE($B140,"'","''")&amp;"'"&amp;", "&amp;"'"&amp;SUBSTITUTE($C140,"'","''")&amp;"'"&amp;", HASHBYTES('SHA2_512', "&amp;"'"&amp;SUBSTITUTE($D140,"'","''")&amp;"'"&amp;"), "&amp;IF($E140="","SYSDATETIME()","'"&amp;SUBSTITUTE($E140,"'","''")&amp;"'")&amp;", "&amp;IF($F140="","1",$F140)&amp;" WHERE NOT EXISTS (SELECT 1 FROM Usuario WHERE NomeUsuario = "&amp;"'"&amp;SUBSTITUTE($A140,"'","''")&amp;"'"&amp;" OR Email = "&amp;"'"&amp;SUBSTITUTE($B140,"'","''")&amp;"'"&amp;");")</f>
        <v/>
      </c>
    </row>
    <row r="141" customFormat="false" ht="15" hidden="false" customHeight="false" outlineLevel="0" collapsed="false">
      <c r="A141" s="26"/>
      <c r="B141" s="26"/>
      <c r="C141" s="26"/>
      <c r="D141" s="26"/>
      <c r="E141" s="28"/>
      <c r="F141" s="26"/>
      <c r="H141" s="25" t="str">
        <f aca="false">IF($A141="","","INSERT INTO Usuario (NomeUsuario, Email, TipoUsuario, SenhaHash, DataCadastro, Ativo) SELECT "&amp;"'"&amp;SUBSTITUTE($A141,"'","''")&amp;"'"&amp;", "&amp;"'"&amp;SUBSTITUTE($B141,"'","''")&amp;"'"&amp;", "&amp;"'"&amp;SUBSTITUTE($C141,"'","''")&amp;"'"&amp;", HASHBYTES('SHA2_512', "&amp;"'"&amp;SUBSTITUTE($D141,"'","''")&amp;"'"&amp;"), "&amp;IF($E141="","SYSDATETIME()","'"&amp;SUBSTITUTE($E141,"'","''")&amp;"'")&amp;", "&amp;IF($F141="","1",$F141)&amp;" WHERE NOT EXISTS (SELECT 1 FROM Usuario WHERE NomeUsuario = "&amp;"'"&amp;SUBSTITUTE($A141,"'","''")&amp;"'"&amp;" OR Email = "&amp;"'"&amp;SUBSTITUTE($B141,"'","''")&amp;"'"&amp;");")</f>
        <v/>
      </c>
    </row>
    <row r="142" customFormat="false" ht="15" hidden="false" customHeight="false" outlineLevel="0" collapsed="false">
      <c r="A142" s="26"/>
      <c r="B142" s="26"/>
      <c r="C142" s="26"/>
      <c r="D142" s="26"/>
      <c r="E142" s="28"/>
      <c r="F142" s="26"/>
      <c r="H142" s="25" t="str">
        <f aca="false">IF($A142="","","INSERT INTO Usuario (NomeUsuario, Email, TipoUsuario, SenhaHash, DataCadastro, Ativo) SELECT "&amp;"'"&amp;SUBSTITUTE($A142,"'","''")&amp;"'"&amp;", "&amp;"'"&amp;SUBSTITUTE($B142,"'","''")&amp;"'"&amp;", "&amp;"'"&amp;SUBSTITUTE($C142,"'","''")&amp;"'"&amp;", HASHBYTES('SHA2_512', "&amp;"'"&amp;SUBSTITUTE($D142,"'","''")&amp;"'"&amp;"), "&amp;IF($E142="","SYSDATETIME()","'"&amp;SUBSTITUTE($E142,"'","''")&amp;"'")&amp;", "&amp;IF($F142="","1",$F142)&amp;" WHERE NOT EXISTS (SELECT 1 FROM Usuario WHERE NomeUsuario = "&amp;"'"&amp;SUBSTITUTE($A142,"'","''")&amp;"'"&amp;" OR Email = "&amp;"'"&amp;SUBSTITUTE($B142,"'","''")&amp;"'"&amp;");")</f>
        <v/>
      </c>
    </row>
    <row r="143" customFormat="false" ht="15" hidden="false" customHeight="false" outlineLevel="0" collapsed="false">
      <c r="A143" s="26"/>
      <c r="B143" s="26"/>
      <c r="C143" s="26"/>
      <c r="D143" s="26"/>
      <c r="E143" s="28"/>
      <c r="F143" s="26"/>
      <c r="H143" s="25" t="str">
        <f aca="false">IF($A143="","","INSERT INTO Usuario (NomeUsuario, Email, TipoUsuario, SenhaHash, DataCadastro, Ativo) SELECT "&amp;"'"&amp;SUBSTITUTE($A143,"'","''")&amp;"'"&amp;", "&amp;"'"&amp;SUBSTITUTE($B143,"'","''")&amp;"'"&amp;", "&amp;"'"&amp;SUBSTITUTE($C143,"'","''")&amp;"'"&amp;", HASHBYTES('SHA2_512', "&amp;"'"&amp;SUBSTITUTE($D143,"'","''")&amp;"'"&amp;"), "&amp;IF($E143="","SYSDATETIME()","'"&amp;SUBSTITUTE($E143,"'","''")&amp;"'")&amp;", "&amp;IF($F143="","1",$F143)&amp;" WHERE NOT EXISTS (SELECT 1 FROM Usuario WHERE NomeUsuario = "&amp;"'"&amp;SUBSTITUTE($A143,"'","''")&amp;"'"&amp;" OR Email = "&amp;"'"&amp;SUBSTITUTE($B143,"'","''")&amp;"'"&amp;");")</f>
        <v/>
      </c>
    </row>
    <row r="144" customFormat="false" ht="15" hidden="false" customHeight="false" outlineLevel="0" collapsed="false">
      <c r="A144" s="26"/>
      <c r="B144" s="26"/>
      <c r="C144" s="26"/>
      <c r="D144" s="26"/>
      <c r="E144" s="28"/>
      <c r="F144" s="26"/>
      <c r="H144" s="25" t="str">
        <f aca="false">IF($A144="","","INSERT INTO Usuario (NomeUsuario, Email, TipoUsuario, SenhaHash, DataCadastro, Ativo) SELECT "&amp;"'"&amp;SUBSTITUTE($A144,"'","''")&amp;"'"&amp;", "&amp;"'"&amp;SUBSTITUTE($B144,"'","''")&amp;"'"&amp;", "&amp;"'"&amp;SUBSTITUTE($C144,"'","''")&amp;"'"&amp;", HASHBYTES('SHA2_512', "&amp;"'"&amp;SUBSTITUTE($D144,"'","''")&amp;"'"&amp;"), "&amp;IF($E144="","SYSDATETIME()","'"&amp;SUBSTITUTE($E144,"'","''")&amp;"'")&amp;", "&amp;IF($F144="","1",$F144)&amp;" WHERE NOT EXISTS (SELECT 1 FROM Usuario WHERE NomeUsuario = "&amp;"'"&amp;SUBSTITUTE($A144,"'","''")&amp;"'"&amp;" OR Email = "&amp;"'"&amp;SUBSTITUTE($B144,"'","''")&amp;"'"&amp;");")</f>
        <v/>
      </c>
    </row>
    <row r="145" customFormat="false" ht="15" hidden="false" customHeight="false" outlineLevel="0" collapsed="false">
      <c r="A145" s="26"/>
      <c r="B145" s="26"/>
      <c r="C145" s="26"/>
      <c r="D145" s="26"/>
      <c r="E145" s="28"/>
      <c r="F145" s="26"/>
      <c r="H145" s="25" t="str">
        <f aca="false">IF($A145="","","INSERT INTO Usuario (NomeUsuario, Email, TipoUsuario, SenhaHash, DataCadastro, Ativo) SELECT "&amp;"'"&amp;SUBSTITUTE($A145,"'","''")&amp;"'"&amp;", "&amp;"'"&amp;SUBSTITUTE($B145,"'","''")&amp;"'"&amp;", "&amp;"'"&amp;SUBSTITUTE($C145,"'","''")&amp;"'"&amp;", HASHBYTES('SHA2_512', "&amp;"'"&amp;SUBSTITUTE($D145,"'","''")&amp;"'"&amp;"), "&amp;IF($E145="","SYSDATETIME()","'"&amp;SUBSTITUTE($E145,"'","''")&amp;"'")&amp;", "&amp;IF($F145="","1",$F145)&amp;" WHERE NOT EXISTS (SELECT 1 FROM Usuario WHERE NomeUsuario = "&amp;"'"&amp;SUBSTITUTE($A145,"'","''")&amp;"'"&amp;" OR Email = "&amp;"'"&amp;SUBSTITUTE($B145,"'","''")&amp;"'"&amp;");")</f>
        <v/>
      </c>
    </row>
    <row r="146" customFormat="false" ht="15" hidden="false" customHeight="false" outlineLevel="0" collapsed="false">
      <c r="A146" s="26"/>
      <c r="B146" s="26"/>
      <c r="C146" s="26"/>
      <c r="D146" s="26"/>
      <c r="E146" s="28"/>
      <c r="F146" s="26"/>
      <c r="H146" s="25" t="str">
        <f aca="false">IF($A146="","","INSERT INTO Usuario (NomeUsuario, Email, TipoUsuario, SenhaHash, DataCadastro, Ativo) SELECT "&amp;"'"&amp;SUBSTITUTE($A146,"'","''")&amp;"'"&amp;", "&amp;"'"&amp;SUBSTITUTE($B146,"'","''")&amp;"'"&amp;", "&amp;"'"&amp;SUBSTITUTE($C146,"'","''")&amp;"'"&amp;", HASHBYTES('SHA2_512', "&amp;"'"&amp;SUBSTITUTE($D146,"'","''")&amp;"'"&amp;"), "&amp;IF($E146="","SYSDATETIME()","'"&amp;SUBSTITUTE($E146,"'","''")&amp;"'")&amp;", "&amp;IF($F146="","1",$F146)&amp;" WHERE NOT EXISTS (SELECT 1 FROM Usuario WHERE NomeUsuario = "&amp;"'"&amp;SUBSTITUTE($A146,"'","''")&amp;"'"&amp;" OR Email = "&amp;"'"&amp;SUBSTITUTE($B146,"'","''")&amp;"'"&amp;");")</f>
        <v/>
      </c>
    </row>
    <row r="147" customFormat="false" ht="15" hidden="false" customHeight="false" outlineLevel="0" collapsed="false">
      <c r="A147" s="26"/>
      <c r="B147" s="26"/>
      <c r="C147" s="26"/>
      <c r="D147" s="26"/>
      <c r="E147" s="28"/>
      <c r="F147" s="26"/>
      <c r="H147" s="25" t="str">
        <f aca="false">IF($A147="","","INSERT INTO Usuario (NomeUsuario, Email, TipoUsuario, SenhaHash, DataCadastro, Ativo) SELECT "&amp;"'"&amp;SUBSTITUTE($A147,"'","''")&amp;"'"&amp;", "&amp;"'"&amp;SUBSTITUTE($B147,"'","''")&amp;"'"&amp;", "&amp;"'"&amp;SUBSTITUTE($C147,"'","''")&amp;"'"&amp;", HASHBYTES('SHA2_512', "&amp;"'"&amp;SUBSTITUTE($D147,"'","''")&amp;"'"&amp;"), "&amp;IF($E147="","SYSDATETIME()","'"&amp;SUBSTITUTE($E147,"'","''")&amp;"'")&amp;", "&amp;IF($F147="","1",$F147)&amp;" WHERE NOT EXISTS (SELECT 1 FROM Usuario WHERE NomeUsuario = "&amp;"'"&amp;SUBSTITUTE($A147,"'","''")&amp;"'"&amp;" OR Email = "&amp;"'"&amp;SUBSTITUTE($B147,"'","''")&amp;"'"&amp;");")</f>
        <v/>
      </c>
    </row>
    <row r="148" customFormat="false" ht="15" hidden="false" customHeight="false" outlineLevel="0" collapsed="false">
      <c r="A148" s="26"/>
      <c r="B148" s="26"/>
      <c r="C148" s="26"/>
      <c r="D148" s="26"/>
      <c r="E148" s="28"/>
      <c r="F148" s="26"/>
      <c r="H148" s="25" t="str">
        <f aca="false">IF($A148="","","INSERT INTO Usuario (NomeUsuario, Email, TipoUsuario, SenhaHash, DataCadastro, Ativo) SELECT "&amp;"'"&amp;SUBSTITUTE($A148,"'","''")&amp;"'"&amp;", "&amp;"'"&amp;SUBSTITUTE($B148,"'","''")&amp;"'"&amp;", "&amp;"'"&amp;SUBSTITUTE($C148,"'","''")&amp;"'"&amp;", HASHBYTES('SHA2_512', "&amp;"'"&amp;SUBSTITUTE($D148,"'","''")&amp;"'"&amp;"), "&amp;IF($E148="","SYSDATETIME()","'"&amp;SUBSTITUTE($E148,"'","''")&amp;"'")&amp;", "&amp;IF($F148="","1",$F148)&amp;" WHERE NOT EXISTS (SELECT 1 FROM Usuario WHERE NomeUsuario = "&amp;"'"&amp;SUBSTITUTE($A148,"'","''")&amp;"'"&amp;" OR Email = "&amp;"'"&amp;SUBSTITUTE($B148,"'","''")&amp;"'"&amp;");")</f>
        <v/>
      </c>
    </row>
    <row r="149" customFormat="false" ht="15" hidden="false" customHeight="false" outlineLevel="0" collapsed="false">
      <c r="A149" s="26"/>
      <c r="B149" s="26"/>
      <c r="C149" s="26"/>
      <c r="D149" s="26"/>
      <c r="E149" s="28"/>
      <c r="F149" s="26"/>
      <c r="H149" s="25" t="str">
        <f aca="false">IF($A149="","","INSERT INTO Usuario (NomeUsuario, Email, TipoUsuario, SenhaHash, DataCadastro, Ativo) SELECT "&amp;"'"&amp;SUBSTITUTE($A149,"'","''")&amp;"'"&amp;", "&amp;"'"&amp;SUBSTITUTE($B149,"'","''")&amp;"'"&amp;", "&amp;"'"&amp;SUBSTITUTE($C149,"'","''")&amp;"'"&amp;", HASHBYTES('SHA2_512', "&amp;"'"&amp;SUBSTITUTE($D149,"'","''")&amp;"'"&amp;"), "&amp;IF($E149="","SYSDATETIME()","'"&amp;SUBSTITUTE($E149,"'","''")&amp;"'")&amp;", "&amp;IF($F149="","1",$F149)&amp;" WHERE NOT EXISTS (SELECT 1 FROM Usuario WHERE NomeUsuario = "&amp;"'"&amp;SUBSTITUTE($A149,"'","''")&amp;"'"&amp;" OR Email = "&amp;"'"&amp;SUBSTITUTE($B149,"'","''")&amp;"'"&amp;");")</f>
        <v/>
      </c>
    </row>
    <row r="150" customFormat="false" ht="15" hidden="false" customHeight="false" outlineLevel="0" collapsed="false">
      <c r="A150" s="26"/>
      <c r="B150" s="26"/>
      <c r="C150" s="26"/>
      <c r="D150" s="26"/>
      <c r="E150" s="28"/>
      <c r="F150" s="26"/>
      <c r="H150" s="25" t="str">
        <f aca="false">IF($A150="","","INSERT INTO Usuario (NomeUsuario, Email, TipoUsuario, SenhaHash, DataCadastro, Ativo) SELECT "&amp;"'"&amp;SUBSTITUTE($A150,"'","''")&amp;"'"&amp;", "&amp;"'"&amp;SUBSTITUTE($B150,"'","''")&amp;"'"&amp;", "&amp;"'"&amp;SUBSTITUTE($C150,"'","''")&amp;"'"&amp;", HASHBYTES('SHA2_512', "&amp;"'"&amp;SUBSTITUTE($D150,"'","''")&amp;"'"&amp;"), "&amp;IF($E150="","SYSDATETIME()","'"&amp;SUBSTITUTE($E150,"'","''")&amp;"'")&amp;", "&amp;IF($F150="","1",$F150)&amp;" WHERE NOT EXISTS (SELECT 1 FROM Usuario WHERE NomeUsuario = "&amp;"'"&amp;SUBSTITUTE($A150,"'","''")&amp;"'"&amp;" OR Email = "&amp;"'"&amp;SUBSTITUTE($B150,"'","''")&amp;"'"&amp;");")</f>
        <v/>
      </c>
    </row>
    <row r="151" customFormat="false" ht="15" hidden="false" customHeight="false" outlineLevel="0" collapsed="false">
      <c r="A151" s="26"/>
      <c r="B151" s="26"/>
      <c r="C151" s="26"/>
      <c r="D151" s="26"/>
      <c r="E151" s="28"/>
      <c r="F151" s="26"/>
      <c r="H151" s="25" t="str">
        <f aca="false">IF($A151="","","INSERT INTO Usuario (NomeUsuario, Email, TipoUsuario, SenhaHash, DataCadastro, Ativo) SELECT "&amp;"'"&amp;SUBSTITUTE($A151,"'","''")&amp;"'"&amp;", "&amp;"'"&amp;SUBSTITUTE($B151,"'","''")&amp;"'"&amp;", "&amp;"'"&amp;SUBSTITUTE($C151,"'","''")&amp;"'"&amp;", HASHBYTES('SHA2_512', "&amp;"'"&amp;SUBSTITUTE($D151,"'","''")&amp;"'"&amp;"), "&amp;IF($E151="","SYSDATETIME()","'"&amp;SUBSTITUTE($E151,"'","''")&amp;"'")&amp;", "&amp;IF($F151="","1",$F151)&amp;" WHERE NOT EXISTS (SELECT 1 FROM Usuario WHERE NomeUsuario = "&amp;"'"&amp;SUBSTITUTE($A151,"'","''")&amp;"'"&amp;" OR Email = "&amp;"'"&amp;SUBSTITUTE($B151,"'","''")&amp;"'"&amp;");")</f>
        <v/>
      </c>
    </row>
    <row r="152" customFormat="false" ht="15" hidden="false" customHeight="false" outlineLevel="0" collapsed="false">
      <c r="A152" s="26"/>
      <c r="B152" s="26"/>
      <c r="C152" s="26"/>
      <c r="D152" s="26"/>
      <c r="E152" s="28"/>
      <c r="F152" s="26"/>
      <c r="H152" s="25" t="str">
        <f aca="false">IF($A152="","","INSERT INTO Usuario (NomeUsuario, Email, TipoUsuario, SenhaHash, DataCadastro, Ativo) SELECT "&amp;"'"&amp;SUBSTITUTE($A152,"'","''")&amp;"'"&amp;", "&amp;"'"&amp;SUBSTITUTE($B152,"'","''")&amp;"'"&amp;", "&amp;"'"&amp;SUBSTITUTE($C152,"'","''")&amp;"'"&amp;", HASHBYTES('SHA2_512', "&amp;"'"&amp;SUBSTITUTE($D152,"'","''")&amp;"'"&amp;"), "&amp;IF($E152="","SYSDATETIME()","'"&amp;SUBSTITUTE($E152,"'","''")&amp;"'")&amp;", "&amp;IF($F152="","1",$F152)&amp;" WHERE NOT EXISTS (SELECT 1 FROM Usuario WHERE NomeUsuario = "&amp;"'"&amp;SUBSTITUTE($A152,"'","''")&amp;"'"&amp;" OR Email = "&amp;"'"&amp;SUBSTITUTE($B152,"'","''")&amp;"'"&amp;");")</f>
        <v/>
      </c>
    </row>
    <row r="153" customFormat="false" ht="15" hidden="false" customHeight="false" outlineLevel="0" collapsed="false">
      <c r="A153" s="26"/>
      <c r="B153" s="26"/>
      <c r="C153" s="26"/>
      <c r="D153" s="26"/>
      <c r="E153" s="28"/>
      <c r="F153" s="26"/>
      <c r="H153" s="25" t="str">
        <f aca="false">IF($A153="","","INSERT INTO Usuario (NomeUsuario, Email, TipoUsuario, SenhaHash, DataCadastro, Ativo) SELECT "&amp;"'"&amp;SUBSTITUTE($A153,"'","''")&amp;"'"&amp;", "&amp;"'"&amp;SUBSTITUTE($B153,"'","''")&amp;"'"&amp;", "&amp;"'"&amp;SUBSTITUTE($C153,"'","''")&amp;"'"&amp;", HASHBYTES('SHA2_512', "&amp;"'"&amp;SUBSTITUTE($D153,"'","''")&amp;"'"&amp;"), "&amp;IF($E153="","SYSDATETIME()","'"&amp;SUBSTITUTE($E153,"'","''")&amp;"'")&amp;", "&amp;IF($F153="","1",$F153)&amp;" WHERE NOT EXISTS (SELECT 1 FROM Usuario WHERE NomeUsuario = "&amp;"'"&amp;SUBSTITUTE($A153,"'","''")&amp;"'"&amp;" OR Email = "&amp;"'"&amp;SUBSTITUTE($B153,"'","''")&amp;"'"&amp;");")</f>
        <v/>
      </c>
    </row>
    <row r="154" customFormat="false" ht="15" hidden="false" customHeight="false" outlineLevel="0" collapsed="false">
      <c r="A154" s="26"/>
      <c r="B154" s="26"/>
      <c r="C154" s="26"/>
      <c r="D154" s="26"/>
      <c r="E154" s="28"/>
      <c r="F154" s="26"/>
      <c r="H154" s="25" t="str">
        <f aca="false">IF($A154="","","INSERT INTO Usuario (NomeUsuario, Email, TipoUsuario, SenhaHash, DataCadastro, Ativo) SELECT "&amp;"'"&amp;SUBSTITUTE($A154,"'","''")&amp;"'"&amp;", "&amp;"'"&amp;SUBSTITUTE($B154,"'","''")&amp;"'"&amp;", "&amp;"'"&amp;SUBSTITUTE($C154,"'","''")&amp;"'"&amp;", HASHBYTES('SHA2_512', "&amp;"'"&amp;SUBSTITUTE($D154,"'","''")&amp;"'"&amp;"), "&amp;IF($E154="","SYSDATETIME()","'"&amp;SUBSTITUTE($E154,"'","''")&amp;"'")&amp;", "&amp;IF($F154="","1",$F154)&amp;" WHERE NOT EXISTS (SELECT 1 FROM Usuario WHERE NomeUsuario = "&amp;"'"&amp;SUBSTITUTE($A154,"'","''")&amp;"'"&amp;" OR Email = "&amp;"'"&amp;SUBSTITUTE($B154,"'","''")&amp;"'"&amp;");")</f>
        <v/>
      </c>
    </row>
    <row r="155" customFormat="false" ht="15" hidden="false" customHeight="false" outlineLevel="0" collapsed="false">
      <c r="A155" s="26"/>
      <c r="B155" s="26"/>
      <c r="C155" s="26"/>
      <c r="D155" s="26"/>
      <c r="E155" s="28"/>
      <c r="F155" s="26"/>
      <c r="H155" s="25" t="str">
        <f aca="false">IF($A155="","","INSERT INTO Usuario (NomeUsuario, Email, TipoUsuario, SenhaHash, DataCadastro, Ativo) SELECT "&amp;"'"&amp;SUBSTITUTE($A155,"'","''")&amp;"'"&amp;", "&amp;"'"&amp;SUBSTITUTE($B155,"'","''")&amp;"'"&amp;", "&amp;"'"&amp;SUBSTITUTE($C155,"'","''")&amp;"'"&amp;", HASHBYTES('SHA2_512', "&amp;"'"&amp;SUBSTITUTE($D155,"'","''")&amp;"'"&amp;"), "&amp;IF($E155="","SYSDATETIME()","'"&amp;SUBSTITUTE($E155,"'","''")&amp;"'")&amp;", "&amp;IF($F155="","1",$F155)&amp;" WHERE NOT EXISTS (SELECT 1 FROM Usuario WHERE NomeUsuario = "&amp;"'"&amp;SUBSTITUTE($A155,"'","''")&amp;"'"&amp;" OR Email = "&amp;"'"&amp;SUBSTITUTE($B155,"'","''")&amp;"'"&amp;");")</f>
        <v/>
      </c>
    </row>
    <row r="156" customFormat="false" ht="15" hidden="false" customHeight="false" outlineLevel="0" collapsed="false">
      <c r="A156" s="26"/>
      <c r="B156" s="26"/>
      <c r="C156" s="26"/>
      <c r="D156" s="26"/>
      <c r="E156" s="28"/>
      <c r="F156" s="26"/>
      <c r="H156" s="25" t="str">
        <f aca="false">IF($A156="","","INSERT INTO Usuario (NomeUsuario, Email, TipoUsuario, SenhaHash, DataCadastro, Ativo) SELECT "&amp;"'"&amp;SUBSTITUTE($A156,"'","''")&amp;"'"&amp;", "&amp;"'"&amp;SUBSTITUTE($B156,"'","''")&amp;"'"&amp;", "&amp;"'"&amp;SUBSTITUTE($C156,"'","''")&amp;"'"&amp;", HASHBYTES('SHA2_512', "&amp;"'"&amp;SUBSTITUTE($D156,"'","''")&amp;"'"&amp;"), "&amp;IF($E156="","SYSDATETIME()","'"&amp;SUBSTITUTE($E156,"'","''")&amp;"'")&amp;", "&amp;IF($F156="","1",$F156)&amp;" WHERE NOT EXISTS (SELECT 1 FROM Usuario WHERE NomeUsuario = "&amp;"'"&amp;SUBSTITUTE($A156,"'","''")&amp;"'"&amp;" OR Email = "&amp;"'"&amp;SUBSTITUTE($B156,"'","''")&amp;"'"&amp;");")</f>
        <v/>
      </c>
    </row>
    <row r="157" customFormat="false" ht="15" hidden="false" customHeight="false" outlineLevel="0" collapsed="false">
      <c r="A157" s="26"/>
      <c r="B157" s="26"/>
      <c r="C157" s="26"/>
      <c r="D157" s="26"/>
      <c r="E157" s="28"/>
      <c r="F157" s="26"/>
      <c r="H157" s="25" t="str">
        <f aca="false">IF($A157="","","INSERT INTO Usuario (NomeUsuario, Email, TipoUsuario, SenhaHash, DataCadastro, Ativo) SELECT "&amp;"'"&amp;SUBSTITUTE($A157,"'","''")&amp;"'"&amp;", "&amp;"'"&amp;SUBSTITUTE($B157,"'","''")&amp;"'"&amp;", "&amp;"'"&amp;SUBSTITUTE($C157,"'","''")&amp;"'"&amp;", HASHBYTES('SHA2_512', "&amp;"'"&amp;SUBSTITUTE($D157,"'","''")&amp;"'"&amp;"), "&amp;IF($E157="","SYSDATETIME()","'"&amp;SUBSTITUTE($E157,"'","''")&amp;"'")&amp;", "&amp;IF($F157="","1",$F157)&amp;" WHERE NOT EXISTS (SELECT 1 FROM Usuario WHERE NomeUsuario = "&amp;"'"&amp;SUBSTITUTE($A157,"'","''")&amp;"'"&amp;" OR Email = "&amp;"'"&amp;SUBSTITUTE($B157,"'","''")&amp;"'"&amp;");")</f>
        <v/>
      </c>
    </row>
    <row r="158" customFormat="false" ht="15" hidden="false" customHeight="false" outlineLevel="0" collapsed="false">
      <c r="A158" s="26"/>
      <c r="B158" s="26"/>
      <c r="C158" s="26"/>
      <c r="D158" s="26"/>
      <c r="E158" s="28"/>
      <c r="F158" s="26"/>
      <c r="H158" s="25" t="str">
        <f aca="false">IF($A158="","","INSERT INTO Usuario (NomeUsuario, Email, TipoUsuario, SenhaHash, DataCadastro, Ativo) SELECT "&amp;"'"&amp;SUBSTITUTE($A158,"'","''")&amp;"'"&amp;", "&amp;"'"&amp;SUBSTITUTE($B158,"'","''")&amp;"'"&amp;", "&amp;"'"&amp;SUBSTITUTE($C158,"'","''")&amp;"'"&amp;", HASHBYTES('SHA2_512', "&amp;"'"&amp;SUBSTITUTE($D158,"'","''")&amp;"'"&amp;"), "&amp;IF($E158="","SYSDATETIME()","'"&amp;SUBSTITUTE($E158,"'","''")&amp;"'")&amp;", "&amp;IF($F158="","1",$F158)&amp;" WHERE NOT EXISTS (SELECT 1 FROM Usuario WHERE NomeUsuario = "&amp;"'"&amp;SUBSTITUTE($A158,"'","''")&amp;"'"&amp;" OR Email = "&amp;"'"&amp;SUBSTITUTE($B158,"'","''")&amp;"'"&amp;");")</f>
        <v/>
      </c>
    </row>
    <row r="159" customFormat="false" ht="15" hidden="false" customHeight="false" outlineLevel="0" collapsed="false">
      <c r="A159" s="26"/>
      <c r="B159" s="26"/>
      <c r="C159" s="26"/>
      <c r="D159" s="26"/>
      <c r="E159" s="28"/>
      <c r="F159" s="26"/>
      <c r="H159" s="25" t="str">
        <f aca="false">IF($A159="","","INSERT INTO Usuario (NomeUsuario, Email, TipoUsuario, SenhaHash, DataCadastro, Ativo) SELECT "&amp;"'"&amp;SUBSTITUTE($A159,"'","''")&amp;"'"&amp;", "&amp;"'"&amp;SUBSTITUTE($B159,"'","''")&amp;"'"&amp;", "&amp;"'"&amp;SUBSTITUTE($C159,"'","''")&amp;"'"&amp;", HASHBYTES('SHA2_512', "&amp;"'"&amp;SUBSTITUTE($D159,"'","''")&amp;"'"&amp;"), "&amp;IF($E159="","SYSDATETIME()","'"&amp;SUBSTITUTE($E159,"'","''")&amp;"'")&amp;", "&amp;IF($F159="","1",$F159)&amp;" WHERE NOT EXISTS (SELECT 1 FROM Usuario WHERE NomeUsuario = "&amp;"'"&amp;SUBSTITUTE($A159,"'","''")&amp;"'"&amp;" OR Email = "&amp;"'"&amp;SUBSTITUTE($B159,"'","''")&amp;"'"&amp;");")</f>
        <v/>
      </c>
    </row>
    <row r="160" customFormat="false" ht="15" hidden="false" customHeight="false" outlineLevel="0" collapsed="false">
      <c r="A160" s="26"/>
      <c r="B160" s="26"/>
      <c r="C160" s="26"/>
      <c r="D160" s="26"/>
      <c r="E160" s="28"/>
      <c r="F160" s="26"/>
      <c r="H160" s="25" t="str">
        <f aca="false">IF($A160="","","INSERT INTO Usuario (NomeUsuario, Email, TipoUsuario, SenhaHash, DataCadastro, Ativo) SELECT "&amp;"'"&amp;SUBSTITUTE($A160,"'","''")&amp;"'"&amp;", "&amp;"'"&amp;SUBSTITUTE($B160,"'","''")&amp;"'"&amp;", "&amp;"'"&amp;SUBSTITUTE($C160,"'","''")&amp;"'"&amp;", HASHBYTES('SHA2_512', "&amp;"'"&amp;SUBSTITUTE($D160,"'","''")&amp;"'"&amp;"), "&amp;IF($E160="","SYSDATETIME()","'"&amp;SUBSTITUTE($E160,"'","''")&amp;"'")&amp;", "&amp;IF($F160="","1",$F160)&amp;" WHERE NOT EXISTS (SELECT 1 FROM Usuario WHERE NomeUsuario = "&amp;"'"&amp;SUBSTITUTE($A160,"'","''")&amp;"'"&amp;" OR Email = "&amp;"'"&amp;SUBSTITUTE($B160,"'","''")&amp;"'"&amp;");")</f>
        <v/>
      </c>
    </row>
    <row r="161" customFormat="false" ht="15" hidden="false" customHeight="false" outlineLevel="0" collapsed="false">
      <c r="A161" s="26"/>
      <c r="B161" s="26"/>
      <c r="C161" s="26"/>
      <c r="D161" s="26"/>
      <c r="E161" s="28"/>
      <c r="F161" s="26"/>
      <c r="H161" s="25" t="str">
        <f aca="false">IF($A161="","","INSERT INTO Usuario (NomeUsuario, Email, TipoUsuario, SenhaHash, DataCadastro, Ativo) SELECT "&amp;"'"&amp;SUBSTITUTE($A161,"'","''")&amp;"'"&amp;", "&amp;"'"&amp;SUBSTITUTE($B161,"'","''")&amp;"'"&amp;", "&amp;"'"&amp;SUBSTITUTE($C161,"'","''")&amp;"'"&amp;", HASHBYTES('SHA2_512', "&amp;"'"&amp;SUBSTITUTE($D161,"'","''")&amp;"'"&amp;"), "&amp;IF($E161="","SYSDATETIME()","'"&amp;SUBSTITUTE($E161,"'","''")&amp;"'")&amp;", "&amp;IF($F161="","1",$F161)&amp;" WHERE NOT EXISTS (SELECT 1 FROM Usuario WHERE NomeUsuario = "&amp;"'"&amp;SUBSTITUTE($A161,"'","''")&amp;"'"&amp;" OR Email = "&amp;"'"&amp;SUBSTITUTE($B161,"'","''")&amp;"'"&amp;");")</f>
        <v/>
      </c>
    </row>
    <row r="162" customFormat="false" ht="15" hidden="false" customHeight="false" outlineLevel="0" collapsed="false">
      <c r="A162" s="26"/>
      <c r="B162" s="26"/>
      <c r="C162" s="26"/>
      <c r="D162" s="26"/>
      <c r="E162" s="28"/>
      <c r="F162" s="26"/>
      <c r="H162" s="25" t="str">
        <f aca="false">IF($A162="","","INSERT INTO Usuario (NomeUsuario, Email, TipoUsuario, SenhaHash, DataCadastro, Ativo) SELECT "&amp;"'"&amp;SUBSTITUTE($A162,"'","''")&amp;"'"&amp;", "&amp;"'"&amp;SUBSTITUTE($B162,"'","''")&amp;"'"&amp;", "&amp;"'"&amp;SUBSTITUTE($C162,"'","''")&amp;"'"&amp;", HASHBYTES('SHA2_512', "&amp;"'"&amp;SUBSTITUTE($D162,"'","''")&amp;"'"&amp;"), "&amp;IF($E162="","SYSDATETIME()","'"&amp;SUBSTITUTE($E162,"'","''")&amp;"'")&amp;", "&amp;IF($F162="","1",$F162)&amp;" WHERE NOT EXISTS (SELECT 1 FROM Usuario WHERE NomeUsuario = "&amp;"'"&amp;SUBSTITUTE($A162,"'","''")&amp;"'"&amp;" OR Email = "&amp;"'"&amp;SUBSTITUTE($B162,"'","''")&amp;"'"&amp;");")</f>
        <v/>
      </c>
    </row>
    <row r="163" customFormat="false" ht="15" hidden="false" customHeight="false" outlineLevel="0" collapsed="false">
      <c r="A163" s="26"/>
      <c r="B163" s="26"/>
      <c r="C163" s="26"/>
      <c r="D163" s="26"/>
      <c r="E163" s="28"/>
      <c r="F163" s="26"/>
      <c r="H163" s="25" t="str">
        <f aca="false">IF($A163="","","INSERT INTO Usuario (NomeUsuario, Email, TipoUsuario, SenhaHash, DataCadastro, Ativo) SELECT "&amp;"'"&amp;SUBSTITUTE($A163,"'","''")&amp;"'"&amp;", "&amp;"'"&amp;SUBSTITUTE($B163,"'","''")&amp;"'"&amp;", "&amp;"'"&amp;SUBSTITUTE($C163,"'","''")&amp;"'"&amp;", HASHBYTES('SHA2_512', "&amp;"'"&amp;SUBSTITUTE($D163,"'","''")&amp;"'"&amp;"), "&amp;IF($E163="","SYSDATETIME()","'"&amp;SUBSTITUTE($E163,"'","''")&amp;"'")&amp;", "&amp;IF($F163="","1",$F163)&amp;" WHERE NOT EXISTS (SELECT 1 FROM Usuario WHERE NomeUsuario = "&amp;"'"&amp;SUBSTITUTE($A163,"'","''")&amp;"'"&amp;" OR Email = "&amp;"'"&amp;SUBSTITUTE($B163,"'","''")&amp;"'"&amp;");")</f>
        <v/>
      </c>
    </row>
    <row r="164" customFormat="false" ht="15" hidden="false" customHeight="false" outlineLevel="0" collapsed="false">
      <c r="A164" s="26"/>
      <c r="B164" s="26"/>
      <c r="C164" s="26"/>
      <c r="D164" s="26"/>
      <c r="E164" s="28"/>
      <c r="F164" s="26"/>
      <c r="H164" s="25" t="str">
        <f aca="false">IF($A164="","","INSERT INTO Usuario (NomeUsuario, Email, TipoUsuario, SenhaHash, DataCadastro, Ativo) SELECT "&amp;"'"&amp;SUBSTITUTE($A164,"'","''")&amp;"'"&amp;", "&amp;"'"&amp;SUBSTITUTE($B164,"'","''")&amp;"'"&amp;", "&amp;"'"&amp;SUBSTITUTE($C164,"'","''")&amp;"'"&amp;", HASHBYTES('SHA2_512', "&amp;"'"&amp;SUBSTITUTE($D164,"'","''")&amp;"'"&amp;"), "&amp;IF($E164="","SYSDATETIME()","'"&amp;SUBSTITUTE($E164,"'","''")&amp;"'")&amp;", "&amp;IF($F164="","1",$F164)&amp;" WHERE NOT EXISTS (SELECT 1 FROM Usuario WHERE NomeUsuario = "&amp;"'"&amp;SUBSTITUTE($A164,"'","''")&amp;"'"&amp;" OR Email = "&amp;"'"&amp;SUBSTITUTE($B164,"'","''")&amp;"'"&amp;");")</f>
        <v/>
      </c>
    </row>
    <row r="165" customFormat="false" ht="15" hidden="false" customHeight="false" outlineLevel="0" collapsed="false">
      <c r="A165" s="26"/>
      <c r="B165" s="26"/>
      <c r="C165" s="26"/>
      <c r="D165" s="26"/>
      <c r="E165" s="28"/>
      <c r="F165" s="26"/>
      <c r="H165" s="25" t="str">
        <f aca="false">IF($A165="","","INSERT INTO Usuario (NomeUsuario, Email, TipoUsuario, SenhaHash, DataCadastro, Ativo) SELECT "&amp;"'"&amp;SUBSTITUTE($A165,"'","''")&amp;"'"&amp;", "&amp;"'"&amp;SUBSTITUTE($B165,"'","''")&amp;"'"&amp;", "&amp;"'"&amp;SUBSTITUTE($C165,"'","''")&amp;"'"&amp;", HASHBYTES('SHA2_512', "&amp;"'"&amp;SUBSTITUTE($D165,"'","''")&amp;"'"&amp;"), "&amp;IF($E165="","SYSDATETIME()","'"&amp;SUBSTITUTE($E165,"'","''")&amp;"'")&amp;", "&amp;IF($F165="","1",$F165)&amp;" WHERE NOT EXISTS (SELECT 1 FROM Usuario WHERE NomeUsuario = "&amp;"'"&amp;SUBSTITUTE($A165,"'","''")&amp;"'"&amp;" OR Email = "&amp;"'"&amp;SUBSTITUTE($B165,"'","''")&amp;"'"&amp;");")</f>
        <v/>
      </c>
    </row>
    <row r="166" customFormat="false" ht="15" hidden="false" customHeight="false" outlineLevel="0" collapsed="false">
      <c r="A166" s="26"/>
      <c r="B166" s="26"/>
      <c r="C166" s="26"/>
      <c r="D166" s="26"/>
      <c r="E166" s="28"/>
      <c r="F166" s="26"/>
      <c r="H166" s="25" t="str">
        <f aca="false">IF($A166="","","INSERT INTO Usuario (NomeUsuario, Email, TipoUsuario, SenhaHash, DataCadastro, Ativo) SELECT "&amp;"'"&amp;SUBSTITUTE($A166,"'","''")&amp;"'"&amp;", "&amp;"'"&amp;SUBSTITUTE($B166,"'","''")&amp;"'"&amp;", "&amp;"'"&amp;SUBSTITUTE($C166,"'","''")&amp;"'"&amp;", HASHBYTES('SHA2_512', "&amp;"'"&amp;SUBSTITUTE($D166,"'","''")&amp;"'"&amp;"), "&amp;IF($E166="","SYSDATETIME()","'"&amp;SUBSTITUTE($E166,"'","''")&amp;"'")&amp;", "&amp;IF($F166="","1",$F166)&amp;" WHERE NOT EXISTS (SELECT 1 FROM Usuario WHERE NomeUsuario = "&amp;"'"&amp;SUBSTITUTE($A166,"'","''")&amp;"'"&amp;" OR Email = "&amp;"'"&amp;SUBSTITUTE($B166,"'","''")&amp;"'"&amp;");")</f>
        <v/>
      </c>
    </row>
    <row r="167" customFormat="false" ht="15" hidden="false" customHeight="false" outlineLevel="0" collapsed="false">
      <c r="A167" s="26"/>
      <c r="B167" s="26"/>
      <c r="C167" s="26"/>
      <c r="D167" s="26"/>
      <c r="E167" s="28"/>
      <c r="F167" s="26"/>
      <c r="H167" s="25" t="str">
        <f aca="false">IF($A167="","","INSERT INTO Usuario (NomeUsuario, Email, TipoUsuario, SenhaHash, DataCadastro, Ativo) SELECT "&amp;"'"&amp;SUBSTITUTE($A167,"'","''")&amp;"'"&amp;", "&amp;"'"&amp;SUBSTITUTE($B167,"'","''")&amp;"'"&amp;", "&amp;"'"&amp;SUBSTITUTE($C167,"'","''")&amp;"'"&amp;", HASHBYTES('SHA2_512', "&amp;"'"&amp;SUBSTITUTE($D167,"'","''")&amp;"'"&amp;"), "&amp;IF($E167="","SYSDATETIME()","'"&amp;SUBSTITUTE($E167,"'","''")&amp;"'")&amp;", "&amp;IF($F167="","1",$F167)&amp;" WHERE NOT EXISTS (SELECT 1 FROM Usuario WHERE NomeUsuario = "&amp;"'"&amp;SUBSTITUTE($A167,"'","''")&amp;"'"&amp;" OR Email = "&amp;"'"&amp;SUBSTITUTE($B167,"'","''")&amp;"'"&amp;");")</f>
        <v/>
      </c>
    </row>
    <row r="168" customFormat="false" ht="15" hidden="false" customHeight="false" outlineLevel="0" collapsed="false">
      <c r="A168" s="26"/>
      <c r="B168" s="26"/>
      <c r="C168" s="26"/>
      <c r="D168" s="26"/>
      <c r="E168" s="28"/>
      <c r="F168" s="26"/>
      <c r="H168" s="25" t="str">
        <f aca="false">IF($A168="","","INSERT INTO Usuario (NomeUsuario, Email, TipoUsuario, SenhaHash, DataCadastro, Ativo) SELECT "&amp;"'"&amp;SUBSTITUTE($A168,"'","''")&amp;"'"&amp;", "&amp;"'"&amp;SUBSTITUTE($B168,"'","''")&amp;"'"&amp;", "&amp;"'"&amp;SUBSTITUTE($C168,"'","''")&amp;"'"&amp;", HASHBYTES('SHA2_512', "&amp;"'"&amp;SUBSTITUTE($D168,"'","''")&amp;"'"&amp;"), "&amp;IF($E168="","SYSDATETIME()","'"&amp;SUBSTITUTE($E168,"'","''")&amp;"'")&amp;", "&amp;IF($F168="","1",$F168)&amp;" WHERE NOT EXISTS (SELECT 1 FROM Usuario WHERE NomeUsuario = "&amp;"'"&amp;SUBSTITUTE($A168,"'","''")&amp;"'"&amp;" OR Email = "&amp;"'"&amp;SUBSTITUTE($B168,"'","''")&amp;"'"&amp;");")</f>
        <v/>
      </c>
    </row>
    <row r="169" customFormat="false" ht="15" hidden="false" customHeight="false" outlineLevel="0" collapsed="false">
      <c r="A169" s="26"/>
      <c r="B169" s="26"/>
      <c r="C169" s="26"/>
      <c r="D169" s="26"/>
      <c r="E169" s="28"/>
      <c r="F169" s="26"/>
      <c r="H169" s="25" t="str">
        <f aca="false">IF($A169="","","INSERT INTO Usuario (NomeUsuario, Email, TipoUsuario, SenhaHash, DataCadastro, Ativo) SELECT "&amp;"'"&amp;SUBSTITUTE($A169,"'","''")&amp;"'"&amp;", "&amp;"'"&amp;SUBSTITUTE($B169,"'","''")&amp;"'"&amp;", "&amp;"'"&amp;SUBSTITUTE($C169,"'","''")&amp;"'"&amp;", HASHBYTES('SHA2_512', "&amp;"'"&amp;SUBSTITUTE($D169,"'","''")&amp;"'"&amp;"), "&amp;IF($E169="","SYSDATETIME()","'"&amp;SUBSTITUTE($E169,"'","''")&amp;"'")&amp;", "&amp;IF($F169="","1",$F169)&amp;" WHERE NOT EXISTS (SELECT 1 FROM Usuario WHERE NomeUsuario = "&amp;"'"&amp;SUBSTITUTE($A169,"'","''")&amp;"'"&amp;" OR Email = "&amp;"'"&amp;SUBSTITUTE($B169,"'","''")&amp;"'"&amp;");")</f>
        <v/>
      </c>
    </row>
    <row r="170" customFormat="false" ht="15" hidden="false" customHeight="false" outlineLevel="0" collapsed="false">
      <c r="A170" s="26"/>
      <c r="B170" s="26"/>
      <c r="C170" s="26"/>
      <c r="D170" s="26"/>
      <c r="E170" s="28"/>
      <c r="F170" s="26"/>
      <c r="H170" s="25" t="str">
        <f aca="false">IF($A170="","","INSERT INTO Usuario (NomeUsuario, Email, TipoUsuario, SenhaHash, DataCadastro, Ativo) SELECT "&amp;"'"&amp;SUBSTITUTE($A170,"'","''")&amp;"'"&amp;", "&amp;"'"&amp;SUBSTITUTE($B170,"'","''")&amp;"'"&amp;", "&amp;"'"&amp;SUBSTITUTE($C170,"'","''")&amp;"'"&amp;", HASHBYTES('SHA2_512', "&amp;"'"&amp;SUBSTITUTE($D170,"'","''")&amp;"'"&amp;"), "&amp;IF($E170="","SYSDATETIME()","'"&amp;SUBSTITUTE($E170,"'","''")&amp;"'")&amp;", "&amp;IF($F170="","1",$F170)&amp;" WHERE NOT EXISTS (SELECT 1 FROM Usuario WHERE NomeUsuario = "&amp;"'"&amp;SUBSTITUTE($A170,"'","''")&amp;"'"&amp;" OR Email = "&amp;"'"&amp;SUBSTITUTE($B170,"'","''")&amp;"'"&amp;");")</f>
        <v/>
      </c>
    </row>
    <row r="171" customFormat="false" ht="15" hidden="false" customHeight="false" outlineLevel="0" collapsed="false">
      <c r="A171" s="26"/>
      <c r="B171" s="26"/>
      <c r="C171" s="26"/>
      <c r="D171" s="26"/>
      <c r="E171" s="28"/>
      <c r="F171" s="26"/>
      <c r="H171" s="25" t="str">
        <f aca="false">IF($A171="","","INSERT INTO Usuario (NomeUsuario, Email, TipoUsuario, SenhaHash, DataCadastro, Ativo) SELECT "&amp;"'"&amp;SUBSTITUTE($A171,"'","''")&amp;"'"&amp;", "&amp;"'"&amp;SUBSTITUTE($B171,"'","''")&amp;"'"&amp;", "&amp;"'"&amp;SUBSTITUTE($C171,"'","''")&amp;"'"&amp;", HASHBYTES('SHA2_512', "&amp;"'"&amp;SUBSTITUTE($D171,"'","''")&amp;"'"&amp;"), "&amp;IF($E171="","SYSDATETIME()","'"&amp;SUBSTITUTE($E171,"'","''")&amp;"'")&amp;", "&amp;IF($F171="","1",$F171)&amp;" WHERE NOT EXISTS (SELECT 1 FROM Usuario WHERE NomeUsuario = "&amp;"'"&amp;SUBSTITUTE($A171,"'","''")&amp;"'"&amp;" OR Email = "&amp;"'"&amp;SUBSTITUTE($B171,"'","''")&amp;"'"&amp;");")</f>
        <v/>
      </c>
    </row>
    <row r="172" customFormat="false" ht="15" hidden="false" customHeight="false" outlineLevel="0" collapsed="false">
      <c r="A172" s="26"/>
      <c r="B172" s="26"/>
      <c r="C172" s="26"/>
      <c r="D172" s="26"/>
      <c r="E172" s="28"/>
      <c r="F172" s="26"/>
      <c r="H172" s="25" t="str">
        <f aca="false">IF($A172="","","INSERT INTO Usuario (NomeUsuario, Email, TipoUsuario, SenhaHash, DataCadastro, Ativo) SELECT "&amp;"'"&amp;SUBSTITUTE($A172,"'","''")&amp;"'"&amp;", "&amp;"'"&amp;SUBSTITUTE($B172,"'","''")&amp;"'"&amp;", "&amp;"'"&amp;SUBSTITUTE($C172,"'","''")&amp;"'"&amp;", HASHBYTES('SHA2_512', "&amp;"'"&amp;SUBSTITUTE($D172,"'","''")&amp;"'"&amp;"), "&amp;IF($E172="","SYSDATETIME()","'"&amp;SUBSTITUTE($E172,"'","''")&amp;"'")&amp;", "&amp;IF($F172="","1",$F172)&amp;" WHERE NOT EXISTS (SELECT 1 FROM Usuario WHERE NomeUsuario = "&amp;"'"&amp;SUBSTITUTE($A172,"'","''")&amp;"'"&amp;" OR Email = "&amp;"'"&amp;SUBSTITUTE($B172,"'","''")&amp;"'"&amp;");")</f>
        <v/>
      </c>
    </row>
    <row r="173" customFormat="false" ht="15" hidden="false" customHeight="false" outlineLevel="0" collapsed="false">
      <c r="A173" s="26"/>
      <c r="B173" s="26"/>
      <c r="C173" s="26"/>
      <c r="D173" s="26"/>
      <c r="E173" s="28"/>
      <c r="F173" s="26"/>
      <c r="H173" s="25" t="str">
        <f aca="false">IF($A173="","","INSERT INTO Usuario (NomeUsuario, Email, TipoUsuario, SenhaHash, DataCadastro, Ativo) SELECT "&amp;"'"&amp;SUBSTITUTE($A173,"'","''")&amp;"'"&amp;", "&amp;"'"&amp;SUBSTITUTE($B173,"'","''")&amp;"'"&amp;", "&amp;"'"&amp;SUBSTITUTE($C173,"'","''")&amp;"'"&amp;", HASHBYTES('SHA2_512', "&amp;"'"&amp;SUBSTITUTE($D173,"'","''")&amp;"'"&amp;"), "&amp;IF($E173="","SYSDATETIME()","'"&amp;SUBSTITUTE($E173,"'","''")&amp;"'")&amp;", "&amp;IF($F173="","1",$F173)&amp;" WHERE NOT EXISTS (SELECT 1 FROM Usuario WHERE NomeUsuario = "&amp;"'"&amp;SUBSTITUTE($A173,"'","''")&amp;"'"&amp;" OR Email = "&amp;"'"&amp;SUBSTITUTE($B173,"'","''")&amp;"'"&amp;");")</f>
        <v/>
      </c>
    </row>
    <row r="174" customFormat="false" ht="15" hidden="false" customHeight="false" outlineLevel="0" collapsed="false">
      <c r="A174" s="26"/>
      <c r="B174" s="26"/>
      <c r="C174" s="26"/>
      <c r="D174" s="26"/>
      <c r="E174" s="28"/>
      <c r="F174" s="26"/>
      <c r="H174" s="25" t="str">
        <f aca="false">IF($A174="","","INSERT INTO Usuario (NomeUsuario, Email, TipoUsuario, SenhaHash, DataCadastro, Ativo) SELECT "&amp;"'"&amp;SUBSTITUTE($A174,"'","''")&amp;"'"&amp;", "&amp;"'"&amp;SUBSTITUTE($B174,"'","''")&amp;"'"&amp;", "&amp;"'"&amp;SUBSTITUTE($C174,"'","''")&amp;"'"&amp;", HASHBYTES('SHA2_512', "&amp;"'"&amp;SUBSTITUTE($D174,"'","''")&amp;"'"&amp;"), "&amp;IF($E174="","SYSDATETIME()","'"&amp;SUBSTITUTE($E174,"'","''")&amp;"'")&amp;", "&amp;IF($F174="","1",$F174)&amp;" WHERE NOT EXISTS (SELECT 1 FROM Usuario WHERE NomeUsuario = "&amp;"'"&amp;SUBSTITUTE($A174,"'","''")&amp;"'"&amp;" OR Email = "&amp;"'"&amp;SUBSTITUTE($B174,"'","''")&amp;"'"&amp;");")</f>
        <v/>
      </c>
    </row>
    <row r="175" customFormat="false" ht="15" hidden="false" customHeight="false" outlineLevel="0" collapsed="false">
      <c r="A175" s="26"/>
      <c r="B175" s="26"/>
      <c r="C175" s="26"/>
      <c r="D175" s="26"/>
      <c r="E175" s="28"/>
      <c r="F175" s="26"/>
      <c r="H175" s="25" t="str">
        <f aca="false">IF($A175="","","INSERT INTO Usuario (NomeUsuario, Email, TipoUsuario, SenhaHash, DataCadastro, Ativo) SELECT "&amp;"'"&amp;SUBSTITUTE($A175,"'","''")&amp;"'"&amp;", "&amp;"'"&amp;SUBSTITUTE($B175,"'","''")&amp;"'"&amp;", "&amp;"'"&amp;SUBSTITUTE($C175,"'","''")&amp;"'"&amp;", HASHBYTES('SHA2_512', "&amp;"'"&amp;SUBSTITUTE($D175,"'","''")&amp;"'"&amp;"), "&amp;IF($E175="","SYSDATETIME()","'"&amp;SUBSTITUTE($E175,"'","''")&amp;"'")&amp;", "&amp;IF($F175="","1",$F175)&amp;" WHERE NOT EXISTS (SELECT 1 FROM Usuario WHERE NomeUsuario = "&amp;"'"&amp;SUBSTITUTE($A175,"'","''")&amp;"'"&amp;" OR Email = "&amp;"'"&amp;SUBSTITUTE($B175,"'","''")&amp;"'"&amp;");")</f>
        <v/>
      </c>
    </row>
    <row r="176" customFormat="false" ht="15" hidden="false" customHeight="false" outlineLevel="0" collapsed="false">
      <c r="A176" s="26"/>
      <c r="B176" s="26"/>
      <c r="C176" s="26"/>
      <c r="D176" s="26"/>
      <c r="E176" s="28"/>
      <c r="F176" s="26"/>
      <c r="H176" s="25" t="str">
        <f aca="false">IF($A176="","","INSERT INTO Usuario (NomeUsuario, Email, TipoUsuario, SenhaHash, DataCadastro, Ativo) SELECT "&amp;"'"&amp;SUBSTITUTE($A176,"'","''")&amp;"'"&amp;", "&amp;"'"&amp;SUBSTITUTE($B176,"'","''")&amp;"'"&amp;", "&amp;"'"&amp;SUBSTITUTE($C176,"'","''")&amp;"'"&amp;", HASHBYTES('SHA2_512', "&amp;"'"&amp;SUBSTITUTE($D176,"'","''")&amp;"'"&amp;"), "&amp;IF($E176="","SYSDATETIME()","'"&amp;SUBSTITUTE($E176,"'","''")&amp;"'")&amp;", "&amp;IF($F176="","1",$F176)&amp;" WHERE NOT EXISTS (SELECT 1 FROM Usuario WHERE NomeUsuario = "&amp;"'"&amp;SUBSTITUTE($A176,"'","''")&amp;"'"&amp;" OR Email = "&amp;"'"&amp;SUBSTITUTE($B176,"'","''")&amp;"'"&amp;");")</f>
        <v/>
      </c>
    </row>
    <row r="177" customFormat="false" ht="15" hidden="false" customHeight="false" outlineLevel="0" collapsed="false">
      <c r="A177" s="26"/>
      <c r="B177" s="26"/>
      <c r="C177" s="26"/>
      <c r="D177" s="26"/>
      <c r="E177" s="28"/>
      <c r="F177" s="26"/>
      <c r="H177" s="25" t="str">
        <f aca="false">IF($A177="","","INSERT INTO Usuario (NomeUsuario, Email, TipoUsuario, SenhaHash, DataCadastro, Ativo) SELECT "&amp;"'"&amp;SUBSTITUTE($A177,"'","''")&amp;"'"&amp;", "&amp;"'"&amp;SUBSTITUTE($B177,"'","''")&amp;"'"&amp;", "&amp;"'"&amp;SUBSTITUTE($C177,"'","''")&amp;"'"&amp;", HASHBYTES('SHA2_512', "&amp;"'"&amp;SUBSTITUTE($D177,"'","''")&amp;"'"&amp;"), "&amp;IF($E177="","SYSDATETIME()","'"&amp;SUBSTITUTE($E177,"'","''")&amp;"'")&amp;", "&amp;IF($F177="","1",$F177)&amp;" WHERE NOT EXISTS (SELECT 1 FROM Usuario WHERE NomeUsuario = "&amp;"'"&amp;SUBSTITUTE($A177,"'","''")&amp;"'"&amp;" OR Email = "&amp;"'"&amp;SUBSTITUTE($B177,"'","''")&amp;"'"&amp;");")</f>
        <v/>
      </c>
    </row>
    <row r="178" customFormat="false" ht="15" hidden="false" customHeight="false" outlineLevel="0" collapsed="false">
      <c r="A178" s="26"/>
      <c r="B178" s="26"/>
      <c r="C178" s="26"/>
      <c r="D178" s="26"/>
      <c r="E178" s="28"/>
      <c r="F178" s="26"/>
      <c r="H178" s="25" t="str">
        <f aca="false">IF($A178="","","INSERT INTO Usuario (NomeUsuario, Email, TipoUsuario, SenhaHash, DataCadastro, Ativo) SELECT "&amp;"'"&amp;SUBSTITUTE($A178,"'","''")&amp;"'"&amp;", "&amp;"'"&amp;SUBSTITUTE($B178,"'","''")&amp;"'"&amp;", "&amp;"'"&amp;SUBSTITUTE($C178,"'","''")&amp;"'"&amp;", HASHBYTES('SHA2_512', "&amp;"'"&amp;SUBSTITUTE($D178,"'","''")&amp;"'"&amp;"), "&amp;IF($E178="","SYSDATETIME()","'"&amp;SUBSTITUTE($E178,"'","''")&amp;"'")&amp;", "&amp;IF($F178="","1",$F178)&amp;" WHERE NOT EXISTS (SELECT 1 FROM Usuario WHERE NomeUsuario = "&amp;"'"&amp;SUBSTITUTE($A178,"'","''")&amp;"'"&amp;" OR Email = "&amp;"'"&amp;SUBSTITUTE($B178,"'","''")&amp;"'"&amp;");")</f>
        <v/>
      </c>
    </row>
    <row r="179" customFormat="false" ht="15" hidden="false" customHeight="false" outlineLevel="0" collapsed="false">
      <c r="A179" s="26"/>
      <c r="B179" s="26"/>
      <c r="C179" s="26"/>
      <c r="D179" s="26"/>
      <c r="E179" s="28"/>
      <c r="F179" s="26"/>
      <c r="H179" s="25" t="str">
        <f aca="false">IF($A179="","","INSERT INTO Usuario (NomeUsuario, Email, TipoUsuario, SenhaHash, DataCadastro, Ativo) SELECT "&amp;"'"&amp;SUBSTITUTE($A179,"'","''")&amp;"'"&amp;", "&amp;"'"&amp;SUBSTITUTE($B179,"'","''")&amp;"'"&amp;", "&amp;"'"&amp;SUBSTITUTE($C179,"'","''")&amp;"'"&amp;", HASHBYTES('SHA2_512', "&amp;"'"&amp;SUBSTITUTE($D179,"'","''")&amp;"'"&amp;"), "&amp;IF($E179="","SYSDATETIME()","'"&amp;SUBSTITUTE($E179,"'","''")&amp;"'")&amp;", "&amp;IF($F179="","1",$F179)&amp;" WHERE NOT EXISTS (SELECT 1 FROM Usuario WHERE NomeUsuario = "&amp;"'"&amp;SUBSTITUTE($A179,"'","''")&amp;"'"&amp;" OR Email = "&amp;"'"&amp;SUBSTITUTE($B179,"'","''")&amp;"'"&amp;");")</f>
        <v/>
      </c>
    </row>
    <row r="180" customFormat="false" ht="15" hidden="false" customHeight="false" outlineLevel="0" collapsed="false">
      <c r="A180" s="26"/>
      <c r="B180" s="26"/>
      <c r="C180" s="26"/>
      <c r="D180" s="26"/>
      <c r="E180" s="28"/>
      <c r="F180" s="26"/>
      <c r="H180" s="25" t="str">
        <f aca="false">IF($A180="","","INSERT INTO Usuario (NomeUsuario, Email, TipoUsuario, SenhaHash, DataCadastro, Ativo) SELECT "&amp;"'"&amp;SUBSTITUTE($A180,"'","''")&amp;"'"&amp;", "&amp;"'"&amp;SUBSTITUTE($B180,"'","''")&amp;"'"&amp;", "&amp;"'"&amp;SUBSTITUTE($C180,"'","''")&amp;"'"&amp;", HASHBYTES('SHA2_512', "&amp;"'"&amp;SUBSTITUTE($D180,"'","''")&amp;"'"&amp;"), "&amp;IF($E180="","SYSDATETIME()","'"&amp;SUBSTITUTE($E180,"'","''")&amp;"'")&amp;", "&amp;IF($F180="","1",$F180)&amp;" WHERE NOT EXISTS (SELECT 1 FROM Usuario WHERE NomeUsuario = "&amp;"'"&amp;SUBSTITUTE($A180,"'","''")&amp;"'"&amp;" OR Email = "&amp;"'"&amp;SUBSTITUTE($B180,"'","''")&amp;"'"&amp;");")</f>
        <v/>
      </c>
    </row>
    <row r="181" customFormat="false" ht="15" hidden="false" customHeight="false" outlineLevel="0" collapsed="false">
      <c r="A181" s="26"/>
      <c r="B181" s="26"/>
      <c r="C181" s="26"/>
      <c r="D181" s="26"/>
      <c r="E181" s="28"/>
      <c r="F181" s="26"/>
      <c r="H181" s="25" t="str">
        <f aca="false">IF($A181="","","INSERT INTO Usuario (NomeUsuario, Email, TipoUsuario, SenhaHash, DataCadastro, Ativo) SELECT "&amp;"'"&amp;SUBSTITUTE($A181,"'","''")&amp;"'"&amp;", "&amp;"'"&amp;SUBSTITUTE($B181,"'","''")&amp;"'"&amp;", "&amp;"'"&amp;SUBSTITUTE($C181,"'","''")&amp;"'"&amp;", HASHBYTES('SHA2_512', "&amp;"'"&amp;SUBSTITUTE($D181,"'","''")&amp;"'"&amp;"), "&amp;IF($E181="","SYSDATETIME()","'"&amp;SUBSTITUTE($E181,"'","''")&amp;"'")&amp;", "&amp;IF($F181="","1",$F181)&amp;" WHERE NOT EXISTS (SELECT 1 FROM Usuario WHERE NomeUsuario = "&amp;"'"&amp;SUBSTITUTE($A181,"'","''")&amp;"'"&amp;" OR Email = "&amp;"'"&amp;SUBSTITUTE($B181,"'","''")&amp;"'"&amp;");")</f>
        <v/>
      </c>
    </row>
    <row r="182" customFormat="false" ht="15" hidden="false" customHeight="false" outlineLevel="0" collapsed="false">
      <c r="A182" s="26"/>
      <c r="B182" s="26"/>
      <c r="C182" s="26"/>
      <c r="D182" s="26"/>
      <c r="E182" s="28"/>
      <c r="F182" s="26"/>
      <c r="H182" s="25" t="str">
        <f aca="false">IF($A182="","","INSERT INTO Usuario (NomeUsuario, Email, TipoUsuario, SenhaHash, DataCadastro, Ativo) SELECT "&amp;"'"&amp;SUBSTITUTE($A182,"'","''")&amp;"'"&amp;", "&amp;"'"&amp;SUBSTITUTE($B182,"'","''")&amp;"'"&amp;", "&amp;"'"&amp;SUBSTITUTE($C182,"'","''")&amp;"'"&amp;", HASHBYTES('SHA2_512', "&amp;"'"&amp;SUBSTITUTE($D182,"'","''")&amp;"'"&amp;"), "&amp;IF($E182="","SYSDATETIME()","'"&amp;SUBSTITUTE($E182,"'","''")&amp;"'")&amp;", "&amp;IF($F182="","1",$F182)&amp;" WHERE NOT EXISTS (SELECT 1 FROM Usuario WHERE NomeUsuario = "&amp;"'"&amp;SUBSTITUTE($A182,"'","''")&amp;"'"&amp;" OR Email = "&amp;"'"&amp;SUBSTITUTE($B182,"'","''")&amp;"'"&amp;");")</f>
        <v/>
      </c>
    </row>
    <row r="183" customFormat="false" ht="15" hidden="false" customHeight="false" outlineLevel="0" collapsed="false">
      <c r="A183" s="26"/>
      <c r="B183" s="26"/>
      <c r="C183" s="26"/>
      <c r="D183" s="26"/>
      <c r="E183" s="28"/>
      <c r="F183" s="26"/>
      <c r="H183" s="25" t="str">
        <f aca="false">IF($A183="","","INSERT INTO Usuario (NomeUsuario, Email, TipoUsuario, SenhaHash, DataCadastro, Ativo) SELECT "&amp;"'"&amp;SUBSTITUTE($A183,"'","''")&amp;"'"&amp;", "&amp;"'"&amp;SUBSTITUTE($B183,"'","''")&amp;"'"&amp;", "&amp;"'"&amp;SUBSTITUTE($C183,"'","''")&amp;"'"&amp;", HASHBYTES('SHA2_512', "&amp;"'"&amp;SUBSTITUTE($D183,"'","''")&amp;"'"&amp;"), "&amp;IF($E183="","SYSDATETIME()","'"&amp;SUBSTITUTE($E183,"'","''")&amp;"'")&amp;", "&amp;IF($F183="","1",$F183)&amp;" WHERE NOT EXISTS (SELECT 1 FROM Usuario WHERE NomeUsuario = "&amp;"'"&amp;SUBSTITUTE($A183,"'","''")&amp;"'"&amp;" OR Email = "&amp;"'"&amp;SUBSTITUTE($B183,"'","''")&amp;"'"&amp;");")</f>
        <v/>
      </c>
    </row>
    <row r="184" customFormat="false" ht="15" hidden="false" customHeight="false" outlineLevel="0" collapsed="false">
      <c r="A184" s="26"/>
      <c r="B184" s="26"/>
      <c r="C184" s="26"/>
      <c r="D184" s="26"/>
      <c r="E184" s="28"/>
      <c r="F184" s="26"/>
      <c r="H184" s="25" t="str">
        <f aca="false">IF($A184="","","INSERT INTO Usuario (NomeUsuario, Email, TipoUsuario, SenhaHash, DataCadastro, Ativo) SELECT "&amp;"'"&amp;SUBSTITUTE($A184,"'","''")&amp;"'"&amp;", "&amp;"'"&amp;SUBSTITUTE($B184,"'","''")&amp;"'"&amp;", "&amp;"'"&amp;SUBSTITUTE($C184,"'","''")&amp;"'"&amp;", HASHBYTES('SHA2_512', "&amp;"'"&amp;SUBSTITUTE($D184,"'","''")&amp;"'"&amp;"), "&amp;IF($E184="","SYSDATETIME()","'"&amp;SUBSTITUTE($E184,"'","''")&amp;"'")&amp;", "&amp;IF($F184="","1",$F184)&amp;" WHERE NOT EXISTS (SELECT 1 FROM Usuario WHERE NomeUsuario = "&amp;"'"&amp;SUBSTITUTE($A184,"'","''")&amp;"'"&amp;" OR Email = "&amp;"'"&amp;SUBSTITUTE($B184,"'","''")&amp;"'"&amp;");")</f>
        <v/>
      </c>
    </row>
    <row r="185" customFormat="false" ht="15" hidden="false" customHeight="false" outlineLevel="0" collapsed="false">
      <c r="A185" s="26"/>
      <c r="B185" s="26"/>
      <c r="C185" s="26"/>
      <c r="D185" s="26"/>
      <c r="E185" s="28"/>
      <c r="F185" s="26"/>
      <c r="H185" s="25" t="str">
        <f aca="false">IF($A185="","","INSERT INTO Usuario (NomeUsuario, Email, TipoUsuario, SenhaHash, DataCadastro, Ativo) SELECT "&amp;"'"&amp;SUBSTITUTE($A185,"'","''")&amp;"'"&amp;", "&amp;"'"&amp;SUBSTITUTE($B185,"'","''")&amp;"'"&amp;", "&amp;"'"&amp;SUBSTITUTE($C185,"'","''")&amp;"'"&amp;", HASHBYTES('SHA2_512', "&amp;"'"&amp;SUBSTITUTE($D185,"'","''")&amp;"'"&amp;"), "&amp;IF($E185="","SYSDATETIME()","'"&amp;SUBSTITUTE($E185,"'","''")&amp;"'")&amp;", "&amp;IF($F185="","1",$F185)&amp;" WHERE NOT EXISTS (SELECT 1 FROM Usuario WHERE NomeUsuario = "&amp;"'"&amp;SUBSTITUTE($A185,"'","''")&amp;"'"&amp;" OR Email = "&amp;"'"&amp;SUBSTITUTE($B185,"'","''")&amp;"'"&amp;");")</f>
        <v/>
      </c>
    </row>
    <row r="186" customFormat="false" ht="15" hidden="false" customHeight="false" outlineLevel="0" collapsed="false">
      <c r="A186" s="26"/>
      <c r="B186" s="26"/>
      <c r="C186" s="26"/>
      <c r="D186" s="26"/>
      <c r="E186" s="28"/>
      <c r="F186" s="26"/>
      <c r="H186" s="25" t="str">
        <f aca="false">IF($A186="","","INSERT INTO Usuario (NomeUsuario, Email, TipoUsuario, SenhaHash, DataCadastro, Ativo) SELECT "&amp;"'"&amp;SUBSTITUTE($A186,"'","''")&amp;"'"&amp;", "&amp;"'"&amp;SUBSTITUTE($B186,"'","''")&amp;"'"&amp;", "&amp;"'"&amp;SUBSTITUTE($C186,"'","''")&amp;"'"&amp;", HASHBYTES('SHA2_512', "&amp;"'"&amp;SUBSTITUTE($D186,"'","''")&amp;"'"&amp;"), "&amp;IF($E186="","SYSDATETIME()","'"&amp;SUBSTITUTE($E186,"'","''")&amp;"'")&amp;", "&amp;IF($F186="","1",$F186)&amp;" WHERE NOT EXISTS (SELECT 1 FROM Usuario WHERE NomeUsuario = "&amp;"'"&amp;SUBSTITUTE($A186,"'","''")&amp;"'"&amp;" OR Email = "&amp;"'"&amp;SUBSTITUTE($B186,"'","''")&amp;"'"&amp;");")</f>
        <v/>
      </c>
    </row>
    <row r="187" customFormat="false" ht="15" hidden="false" customHeight="false" outlineLevel="0" collapsed="false">
      <c r="A187" s="26"/>
      <c r="B187" s="26"/>
      <c r="C187" s="26"/>
      <c r="D187" s="26"/>
      <c r="E187" s="28"/>
      <c r="F187" s="26"/>
      <c r="H187" s="25" t="str">
        <f aca="false">IF($A187="","","INSERT INTO Usuario (NomeUsuario, Email, TipoUsuario, SenhaHash, DataCadastro, Ativo) SELECT "&amp;"'"&amp;SUBSTITUTE($A187,"'","''")&amp;"'"&amp;", "&amp;"'"&amp;SUBSTITUTE($B187,"'","''")&amp;"'"&amp;", "&amp;"'"&amp;SUBSTITUTE($C187,"'","''")&amp;"'"&amp;", HASHBYTES('SHA2_512', "&amp;"'"&amp;SUBSTITUTE($D187,"'","''")&amp;"'"&amp;"), "&amp;IF($E187="","SYSDATETIME()","'"&amp;SUBSTITUTE($E187,"'","''")&amp;"'")&amp;", "&amp;IF($F187="","1",$F187)&amp;" WHERE NOT EXISTS (SELECT 1 FROM Usuario WHERE NomeUsuario = "&amp;"'"&amp;SUBSTITUTE($A187,"'","''")&amp;"'"&amp;" OR Email = "&amp;"'"&amp;SUBSTITUTE($B187,"'","''")&amp;"'"&amp;");")</f>
        <v/>
      </c>
    </row>
    <row r="188" customFormat="false" ht="15" hidden="false" customHeight="false" outlineLevel="0" collapsed="false">
      <c r="A188" s="26"/>
      <c r="B188" s="26"/>
      <c r="C188" s="26"/>
      <c r="D188" s="26"/>
      <c r="E188" s="28"/>
      <c r="F188" s="26"/>
      <c r="H188" s="25" t="str">
        <f aca="false">IF($A188="","","INSERT INTO Usuario (NomeUsuario, Email, TipoUsuario, SenhaHash, DataCadastro, Ativo) SELECT "&amp;"'"&amp;SUBSTITUTE($A188,"'","''")&amp;"'"&amp;", "&amp;"'"&amp;SUBSTITUTE($B188,"'","''")&amp;"'"&amp;", "&amp;"'"&amp;SUBSTITUTE($C188,"'","''")&amp;"'"&amp;", HASHBYTES('SHA2_512', "&amp;"'"&amp;SUBSTITUTE($D188,"'","''")&amp;"'"&amp;"), "&amp;IF($E188="","SYSDATETIME()","'"&amp;SUBSTITUTE($E188,"'","''")&amp;"'")&amp;", "&amp;IF($F188="","1",$F188)&amp;" WHERE NOT EXISTS (SELECT 1 FROM Usuario WHERE NomeUsuario = "&amp;"'"&amp;SUBSTITUTE($A188,"'","''")&amp;"'"&amp;" OR Email = "&amp;"'"&amp;SUBSTITUTE($B188,"'","''")&amp;"'"&amp;");")</f>
        <v/>
      </c>
    </row>
    <row r="189" customFormat="false" ht="15" hidden="false" customHeight="false" outlineLevel="0" collapsed="false">
      <c r="A189" s="26"/>
      <c r="B189" s="26"/>
      <c r="C189" s="26"/>
      <c r="D189" s="26"/>
      <c r="E189" s="28"/>
      <c r="F189" s="26"/>
      <c r="H189" s="25" t="str">
        <f aca="false">IF($A189="","","INSERT INTO Usuario (NomeUsuario, Email, TipoUsuario, SenhaHash, DataCadastro, Ativo) SELECT "&amp;"'"&amp;SUBSTITUTE($A189,"'","''")&amp;"'"&amp;", "&amp;"'"&amp;SUBSTITUTE($B189,"'","''")&amp;"'"&amp;", "&amp;"'"&amp;SUBSTITUTE($C189,"'","''")&amp;"'"&amp;", HASHBYTES('SHA2_512', "&amp;"'"&amp;SUBSTITUTE($D189,"'","''")&amp;"'"&amp;"), "&amp;IF($E189="","SYSDATETIME()","'"&amp;SUBSTITUTE($E189,"'","''")&amp;"'")&amp;", "&amp;IF($F189="","1",$F189)&amp;" WHERE NOT EXISTS (SELECT 1 FROM Usuario WHERE NomeUsuario = "&amp;"'"&amp;SUBSTITUTE($A189,"'","''")&amp;"'"&amp;" OR Email = "&amp;"'"&amp;SUBSTITUTE($B189,"'","''")&amp;"'"&amp;");")</f>
        <v/>
      </c>
    </row>
    <row r="190" customFormat="false" ht="15" hidden="false" customHeight="false" outlineLevel="0" collapsed="false">
      <c r="A190" s="26"/>
      <c r="B190" s="26"/>
      <c r="C190" s="26"/>
      <c r="D190" s="26"/>
      <c r="E190" s="28"/>
      <c r="F190" s="26"/>
      <c r="H190" s="25" t="str">
        <f aca="false">IF($A190="","","INSERT INTO Usuario (NomeUsuario, Email, TipoUsuario, SenhaHash, DataCadastro, Ativo) SELECT "&amp;"'"&amp;SUBSTITUTE($A190,"'","''")&amp;"'"&amp;", "&amp;"'"&amp;SUBSTITUTE($B190,"'","''")&amp;"'"&amp;", "&amp;"'"&amp;SUBSTITUTE($C190,"'","''")&amp;"'"&amp;", HASHBYTES('SHA2_512', "&amp;"'"&amp;SUBSTITUTE($D190,"'","''")&amp;"'"&amp;"), "&amp;IF($E190="","SYSDATETIME()","'"&amp;SUBSTITUTE($E190,"'","''")&amp;"'")&amp;", "&amp;IF($F190="","1",$F190)&amp;" WHERE NOT EXISTS (SELECT 1 FROM Usuario WHERE NomeUsuario = "&amp;"'"&amp;SUBSTITUTE($A190,"'","''")&amp;"'"&amp;" OR Email = "&amp;"'"&amp;SUBSTITUTE($B190,"'","''")&amp;"'"&amp;");")</f>
        <v/>
      </c>
    </row>
    <row r="191" customFormat="false" ht="15" hidden="false" customHeight="false" outlineLevel="0" collapsed="false">
      <c r="A191" s="26"/>
      <c r="B191" s="26"/>
      <c r="C191" s="26"/>
      <c r="D191" s="26"/>
      <c r="E191" s="28"/>
      <c r="F191" s="26"/>
      <c r="H191" s="25" t="str">
        <f aca="false">IF($A191="","","INSERT INTO Usuario (NomeUsuario, Email, TipoUsuario, SenhaHash, DataCadastro, Ativo) SELECT "&amp;"'"&amp;SUBSTITUTE($A191,"'","''")&amp;"'"&amp;", "&amp;"'"&amp;SUBSTITUTE($B191,"'","''")&amp;"'"&amp;", "&amp;"'"&amp;SUBSTITUTE($C191,"'","''")&amp;"'"&amp;", HASHBYTES('SHA2_512', "&amp;"'"&amp;SUBSTITUTE($D191,"'","''")&amp;"'"&amp;"), "&amp;IF($E191="","SYSDATETIME()","'"&amp;SUBSTITUTE($E191,"'","''")&amp;"'")&amp;", "&amp;IF($F191="","1",$F191)&amp;" WHERE NOT EXISTS (SELECT 1 FROM Usuario WHERE NomeUsuario = "&amp;"'"&amp;SUBSTITUTE($A191,"'","''")&amp;"'"&amp;" OR Email = "&amp;"'"&amp;SUBSTITUTE($B191,"'","''")&amp;"'"&amp;");")</f>
        <v/>
      </c>
    </row>
    <row r="192" customFormat="false" ht="15" hidden="false" customHeight="false" outlineLevel="0" collapsed="false">
      <c r="A192" s="26"/>
      <c r="B192" s="26"/>
      <c r="C192" s="26"/>
      <c r="D192" s="26"/>
      <c r="E192" s="28"/>
      <c r="F192" s="26"/>
      <c r="H192" s="25" t="str">
        <f aca="false">IF($A192="","","INSERT INTO Usuario (NomeUsuario, Email, TipoUsuario, SenhaHash, DataCadastro, Ativo) SELECT "&amp;"'"&amp;SUBSTITUTE($A192,"'","''")&amp;"'"&amp;", "&amp;"'"&amp;SUBSTITUTE($B192,"'","''")&amp;"'"&amp;", "&amp;"'"&amp;SUBSTITUTE($C192,"'","''")&amp;"'"&amp;", HASHBYTES('SHA2_512', "&amp;"'"&amp;SUBSTITUTE($D192,"'","''")&amp;"'"&amp;"), "&amp;IF($E192="","SYSDATETIME()","'"&amp;SUBSTITUTE($E192,"'","''")&amp;"'")&amp;", "&amp;IF($F192="","1",$F192)&amp;" WHERE NOT EXISTS (SELECT 1 FROM Usuario WHERE NomeUsuario = "&amp;"'"&amp;SUBSTITUTE($A192,"'","''")&amp;"'"&amp;" OR Email = "&amp;"'"&amp;SUBSTITUTE($B192,"'","''")&amp;"'"&amp;");")</f>
        <v/>
      </c>
    </row>
    <row r="193" customFormat="false" ht="15" hidden="false" customHeight="false" outlineLevel="0" collapsed="false">
      <c r="A193" s="26"/>
      <c r="B193" s="26"/>
      <c r="C193" s="26"/>
      <c r="D193" s="26"/>
      <c r="E193" s="28"/>
      <c r="F193" s="26"/>
      <c r="H193" s="25" t="str">
        <f aca="false">IF($A193="","","INSERT INTO Usuario (NomeUsuario, Email, TipoUsuario, SenhaHash, DataCadastro, Ativo) SELECT "&amp;"'"&amp;SUBSTITUTE($A193,"'","''")&amp;"'"&amp;", "&amp;"'"&amp;SUBSTITUTE($B193,"'","''")&amp;"'"&amp;", "&amp;"'"&amp;SUBSTITUTE($C193,"'","''")&amp;"'"&amp;", HASHBYTES('SHA2_512', "&amp;"'"&amp;SUBSTITUTE($D193,"'","''")&amp;"'"&amp;"), "&amp;IF($E193="","SYSDATETIME()","'"&amp;SUBSTITUTE($E193,"'","''")&amp;"'")&amp;", "&amp;IF($F193="","1",$F193)&amp;" WHERE NOT EXISTS (SELECT 1 FROM Usuario WHERE NomeUsuario = "&amp;"'"&amp;SUBSTITUTE($A193,"'","''")&amp;"'"&amp;" OR Email = "&amp;"'"&amp;SUBSTITUTE($B193,"'","''")&amp;"'"&amp;");")</f>
        <v/>
      </c>
    </row>
    <row r="194" customFormat="false" ht="15" hidden="false" customHeight="false" outlineLevel="0" collapsed="false">
      <c r="A194" s="26"/>
      <c r="B194" s="26"/>
      <c r="C194" s="26"/>
      <c r="D194" s="26"/>
      <c r="E194" s="28"/>
      <c r="F194" s="26"/>
      <c r="H194" s="25" t="str">
        <f aca="false">IF($A194="","","INSERT INTO Usuario (NomeUsuario, Email, TipoUsuario, SenhaHash, DataCadastro, Ativo) SELECT "&amp;"'"&amp;SUBSTITUTE($A194,"'","''")&amp;"'"&amp;", "&amp;"'"&amp;SUBSTITUTE($B194,"'","''")&amp;"'"&amp;", "&amp;"'"&amp;SUBSTITUTE($C194,"'","''")&amp;"'"&amp;", HASHBYTES('SHA2_512', "&amp;"'"&amp;SUBSTITUTE($D194,"'","''")&amp;"'"&amp;"), "&amp;IF($E194="","SYSDATETIME()","'"&amp;SUBSTITUTE($E194,"'","''")&amp;"'")&amp;", "&amp;IF($F194="","1",$F194)&amp;" WHERE NOT EXISTS (SELECT 1 FROM Usuario WHERE NomeUsuario = "&amp;"'"&amp;SUBSTITUTE($A194,"'","''")&amp;"'"&amp;" OR Email = "&amp;"'"&amp;SUBSTITUTE($B194,"'","''")&amp;"'"&amp;");")</f>
        <v/>
      </c>
    </row>
    <row r="195" customFormat="false" ht="15" hidden="false" customHeight="false" outlineLevel="0" collapsed="false">
      <c r="A195" s="26"/>
      <c r="B195" s="26"/>
      <c r="C195" s="26"/>
      <c r="D195" s="26"/>
      <c r="E195" s="28"/>
      <c r="F195" s="26"/>
      <c r="H195" s="25" t="str">
        <f aca="false">IF($A195="","","INSERT INTO Usuario (NomeUsuario, Email, TipoUsuario, SenhaHash, DataCadastro, Ativo) SELECT "&amp;"'"&amp;SUBSTITUTE($A195,"'","''")&amp;"'"&amp;", "&amp;"'"&amp;SUBSTITUTE($B195,"'","''")&amp;"'"&amp;", "&amp;"'"&amp;SUBSTITUTE($C195,"'","''")&amp;"'"&amp;", HASHBYTES('SHA2_512', "&amp;"'"&amp;SUBSTITUTE($D195,"'","''")&amp;"'"&amp;"), "&amp;IF($E195="","SYSDATETIME()","'"&amp;SUBSTITUTE($E195,"'","''")&amp;"'")&amp;", "&amp;IF($F195="","1",$F195)&amp;" WHERE NOT EXISTS (SELECT 1 FROM Usuario WHERE NomeUsuario = "&amp;"'"&amp;SUBSTITUTE($A195,"'","''")&amp;"'"&amp;" OR Email = "&amp;"'"&amp;SUBSTITUTE($B195,"'","''")&amp;"'"&amp;");")</f>
        <v/>
      </c>
    </row>
    <row r="196" customFormat="false" ht="15" hidden="false" customHeight="false" outlineLevel="0" collapsed="false">
      <c r="A196" s="26"/>
      <c r="B196" s="26"/>
      <c r="C196" s="26"/>
      <c r="D196" s="26"/>
      <c r="E196" s="28"/>
      <c r="F196" s="26"/>
      <c r="H196" s="25" t="str">
        <f aca="false">IF($A196="","","INSERT INTO Usuario (NomeUsuario, Email, TipoUsuario, SenhaHash, DataCadastro, Ativo) SELECT "&amp;"'"&amp;SUBSTITUTE($A196,"'","''")&amp;"'"&amp;", "&amp;"'"&amp;SUBSTITUTE($B196,"'","''")&amp;"'"&amp;", "&amp;"'"&amp;SUBSTITUTE($C196,"'","''")&amp;"'"&amp;", HASHBYTES('SHA2_512', "&amp;"'"&amp;SUBSTITUTE($D196,"'","''")&amp;"'"&amp;"), "&amp;IF($E196="","SYSDATETIME()","'"&amp;SUBSTITUTE($E196,"'","''")&amp;"'")&amp;", "&amp;IF($F196="","1",$F196)&amp;" WHERE NOT EXISTS (SELECT 1 FROM Usuario WHERE NomeUsuario = "&amp;"'"&amp;SUBSTITUTE($A196,"'","''")&amp;"'"&amp;" OR Email = "&amp;"'"&amp;SUBSTITUTE($B196,"'","''")&amp;"'"&amp;");")</f>
        <v/>
      </c>
    </row>
    <row r="197" customFormat="false" ht="15" hidden="false" customHeight="false" outlineLevel="0" collapsed="false">
      <c r="A197" s="26"/>
      <c r="B197" s="26"/>
      <c r="C197" s="26"/>
      <c r="D197" s="26"/>
      <c r="E197" s="28"/>
      <c r="F197" s="26"/>
      <c r="H197" s="25" t="str">
        <f aca="false">IF($A197="","","INSERT INTO Usuario (NomeUsuario, Email, TipoUsuario, SenhaHash, DataCadastro, Ativo) SELECT "&amp;"'"&amp;SUBSTITUTE($A197,"'","''")&amp;"'"&amp;", "&amp;"'"&amp;SUBSTITUTE($B197,"'","''")&amp;"'"&amp;", "&amp;"'"&amp;SUBSTITUTE($C197,"'","''")&amp;"'"&amp;", HASHBYTES('SHA2_512', "&amp;"'"&amp;SUBSTITUTE($D197,"'","''")&amp;"'"&amp;"), "&amp;IF($E197="","SYSDATETIME()","'"&amp;SUBSTITUTE($E197,"'","''")&amp;"'")&amp;", "&amp;IF($F197="","1",$F197)&amp;" WHERE NOT EXISTS (SELECT 1 FROM Usuario WHERE NomeUsuario = "&amp;"'"&amp;SUBSTITUTE($A197,"'","''")&amp;"'"&amp;" OR Email = "&amp;"'"&amp;SUBSTITUTE($B197,"'","''")&amp;"'"&amp;");")</f>
        <v/>
      </c>
    </row>
    <row r="198" customFormat="false" ht="15" hidden="false" customHeight="false" outlineLevel="0" collapsed="false">
      <c r="A198" s="26"/>
      <c r="B198" s="26"/>
      <c r="C198" s="26"/>
      <c r="D198" s="26"/>
      <c r="E198" s="28"/>
      <c r="F198" s="26"/>
      <c r="H198" s="25" t="str">
        <f aca="false">IF($A198="","","INSERT INTO Usuario (NomeUsuario, Email, TipoUsuario, SenhaHash, DataCadastro, Ativo) SELECT "&amp;"'"&amp;SUBSTITUTE($A198,"'","''")&amp;"'"&amp;", "&amp;"'"&amp;SUBSTITUTE($B198,"'","''")&amp;"'"&amp;", "&amp;"'"&amp;SUBSTITUTE($C198,"'","''")&amp;"'"&amp;", HASHBYTES('SHA2_512', "&amp;"'"&amp;SUBSTITUTE($D198,"'","''")&amp;"'"&amp;"), "&amp;IF($E198="","SYSDATETIME()","'"&amp;SUBSTITUTE($E198,"'","''")&amp;"'")&amp;", "&amp;IF($F198="","1",$F198)&amp;" WHERE NOT EXISTS (SELECT 1 FROM Usuario WHERE NomeUsuario = "&amp;"'"&amp;SUBSTITUTE($A198,"'","''")&amp;"'"&amp;" OR Email = "&amp;"'"&amp;SUBSTITUTE($B198,"'","''")&amp;"'"&amp;");")</f>
        <v/>
      </c>
    </row>
    <row r="199" customFormat="false" ht="15" hidden="false" customHeight="false" outlineLevel="0" collapsed="false">
      <c r="A199" s="26"/>
      <c r="B199" s="26"/>
      <c r="C199" s="26"/>
      <c r="D199" s="26"/>
      <c r="E199" s="28"/>
      <c r="F199" s="26"/>
      <c r="H199" s="25" t="str">
        <f aca="false">IF($A199="","","INSERT INTO Usuario (NomeUsuario, Email, TipoUsuario, SenhaHash, DataCadastro, Ativo) SELECT "&amp;"'"&amp;SUBSTITUTE($A199,"'","''")&amp;"'"&amp;", "&amp;"'"&amp;SUBSTITUTE($B199,"'","''")&amp;"'"&amp;", "&amp;"'"&amp;SUBSTITUTE($C199,"'","''")&amp;"'"&amp;", HASHBYTES('SHA2_512', "&amp;"'"&amp;SUBSTITUTE($D199,"'","''")&amp;"'"&amp;"), "&amp;IF($E199="","SYSDATETIME()","'"&amp;SUBSTITUTE($E199,"'","''")&amp;"'")&amp;", "&amp;IF($F199="","1",$F199)&amp;" WHERE NOT EXISTS (SELECT 1 FROM Usuario WHERE NomeUsuario = "&amp;"'"&amp;SUBSTITUTE($A199,"'","''")&amp;"'"&amp;" OR Email = "&amp;"'"&amp;SUBSTITUTE($B199,"'","''")&amp;"'"&amp;");")</f>
        <v/>
      </c>
    </row>
    <row r="200" customFormat="false" ht="15" hidden="false" customHeight="false" outlineLevel="0" collapsed="false">
      <c r="A200" s="26"/>
      <c r="B200" s="26"/>
      <c r="C200" s="26"/>
      <c r="D200" s="26"/>
      <c r="E200" s="28"/>
      <c r="F200" s="26"/>
      <c r="H200" s="25" t="str">
        <f aca="false">IF($A200="","","INSERT INTO Usuario (NomeUsuario, Email, TipoUsuario, SenhaHash, DataCadastro, Ativo) SELECT "&amp;"'"&amp;SUBSTITUTE($A200,"'","''")&amp;"'"&amp;", "&amp;"'"&amp;SUBSTITUTE($B200,"'","''")&amp;"'"&amp;", "&amp;"'"&amp;SUBSTITUTE($C200,"'","''")&amp;"'"&amp;", HASHBYTES('SHA2_512', "&amp;"'"&amp;SUBSTITUTE($D200,"'","''")&amp;"'"&amp;"), "&amp;IF($E200="","SYSDATETIME()","'"&amp;SUBSTITUTE($E200,"'","''")&amp;"'")&amp;", "&amp;IF($F200="","1",$F200)&amp;" WHERE NOT EXISTS (SELECT 1 FROM Usuario WHERE NomeUsuario = "&amp;"'"&amp;SUBSTITUTE($A200,"'","''")&amp;"'"&amp;" OR Email = "&amp;"'"&amp;SUBSTITUTE($B200,"'","''")&amp;"'"&amp;");")</f>
        <v/>
      </c>
    </row>
    <row r="201" customFormat="false" ht="15" hidden="false" customHeight="false" outlineLevel="0" collapsed="false">
      <c r="A201" s="26"/>
      <c r="B201" s="26"/>
      <c r="C201" s="26"/>
      <c r="D201" s="26"/>
      <c r="E201" s="28"/>
      <c r="F201" s="26"/>
      <c r="H201" s="25" t="str">
        <f aca="false">IF($A201="","","INSERT INTO Usuario (NomeUsuario, Email, TipoUsuario, SenhaHash, DataCadastro, Ativo) SELECT "&amp;"'"&amp;SUBSTITUTE($A201,"'","''")&amp;"'"&amp;", "&amp;"'"&amp;SUBSTITUTE($B201,"'","''")&amp;"'"&amp;", "&amp;"'"&amp;SUBSTITUTE($C201,"'","''")&amp;"'"&amp;", HASHBYTES('SHA2_512', "&amp;"'"&amp;SUBSTITUTE($D201,"'","''")&amp;"'"&amp;"), "&amp;IF($E201="","SYSDATETIME()","'"&amp;SUBSTITUTE($E201,"'","''")&amp;"'")&amp;", "&amp;IF($F201="","1",$F201)&amp;" WHERE NOT EXISTS (SELECT 1 FROM Usuario WHERE NomeUsuario = "&amp;"'"&amp;SUBSTITUTE($A201,"'","''")&amp;"'"&amp;" OR Email = "&amp;"'"&amp;SUBSTITUTE($B201,"'","''")&amp;"'"&amp;");")</f>
        <v/>
      </c>
    </row>
    <row r="202" customFormat="false" ht="15" hidden="false" customHeight="false" outlineLevel="0" collapsed="false">
      <c r="A202" s="26"/>
      <c r="B202" s="26"/>
      <c r="C202" s="26"/>
      <c r="D202" s="26"/>
      <c r="E202" s="28"/>
      <c r="F202" s="26"/>
      <c r="H202" s="25" t="str">
        <f aca="false">IF($A202="","","INSERT INTO Usuario (NomeUsuario, Email, TipoUsuario, SenhaHash, DataCadastro, Ativo) SELECT "&amp;"'"&amp;SUBSTITUTE($A202,"'","''")&amp;"'"&amp;", "&amp;"'"&amp;SUBSTITUTE($B202,"'","''")&amp;"'"&amp;", "&amp;"'"&amp;SUBSTITUTE($C202,"'","''")&amp;"'"&amp;", HASHBYTES('SHA2_512', "&amp;"'"&amp;SUBSTITUTE($D202,"'","''")&amp;"'"&amp;"), "&amp;IF($E202="","SYSDATETIME()","'"&amp;SUBSTITUTE($E202,"'","''")&amp;"'")&amp;", "&amp;IF($F202="","1",$F202)&amp;" WHERE NOT EXISTS (SELECT 1 FROM Usuario WHERE NomeUsuario = "&amp;"'"&amp;SUBSTITUTE($A202,"'","''")&amp;"'"&amp;" OR Email = "&amp;"'"&amp;SUBSTITUTE($B202,"'","''")&amp;"'"&amp;");")</f>
        <v/>
      </c>
    </row>
  </sheetData>
  <dataValidations count="2">
    <dataValidation allowBlank="true" error="Use apenas Leitor, Moderador ou Admin (CHECK da tabela Usuario)." errorStyle="stop" errorTitle="TipoUsuario" operator="between" prompt="Use apenas Leitor, Moderador ou Admin (CHECK da tabela Usuario)." promptTitle="TipoUsuario" showDropDown="false" showErrorMessage="true" showInputMessage="true" sqref="C3:C202" type="list">
      <formula1>lst_TipoUsuario</formula1>
      <formula2>0</formula2>
    </dataValidation>
    <dataValidation allowBlank="true" error="1 = ativo, 0 = desativado." errorStyle="stop" errorTitle="Ativo" operator="between" prompt="1 = ativo, 0 = desativado." promptTitle="Ativo" showDropDown="false" showErrorMessage="true" showInputMessage="true" sqref="F3:F202" type="list">
      <formula1>lst_Ativo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9" min="8" style="0" width="22"/>
    <col collapsed="false" customWidth="true" hidden="false" outlineLevel="0" max="11" min="11" style="0" width="110"/>
  </cols>
  <sheetData>
    <row r="1" customFormat="false" ht="21.75" hidden="false" customHeight="true" outlineLevel="0" collapsed="false">
      <c r="A1" s="20" t="s">
        <v>150</v>
      </c>
      <c r="B1" s="20" t="s">
        <v>85</v>
      </c>
      <c r="C1" s="20" t="s">
        <v>151</v>
      </c>
      <c r="D1" s="20" t="s">
        <v>91</v>
      </c>
      <c r="E1" s="20" t="s">
        <v>92</v>
      </c>
      <c r="F1" s="20" t="s">
        <v>127</v>
      </c>
      <c r="G1" s="20" t="s">
        <v>152</v>
      </c>
      <c r="H1" s="20" t="s">
        <v>153</v>
      </c>
      <c r="I1" s="20" t="s">
        <v>104</v>
      </c>
      <c r="K1" s="21" t="s">
        <v>128</v>
      </c>
    </row>
    <row r="2" customFormat="false" ht="30" hidden="false" customHeight="true" outlineLevel="0" collapsed="false">
      <c r="A2" s="22" t="s">
        <v>154</v>
      </c>
      <c r="B2" s="22" t="s">
        <v>155</v>
      </c>
      <c r="C2" s="22" t="s">
        <v>156</v>
      </c>
      <c r="D2" s="22" t="s">
        <v>157</v>
      </c>
      <c r="E2" s="22" t="s">
        <v>158</v>
      </c>
      <c r="F2" s="22" t="s">
        <v>159</v>
      </c>
      <c r="G2" s="22" t="s">
        <v>160</v>
      </c>
      <c r="H2" s="22" t="s">
        <v>161</v>
      </c>
      <c r="I2" s="22" t="s">
        <v>143</v>
      </c>
      <c r="K2" s="23" t="s">
        <v>131</v>
      </c>
    </row>
    <row r="3" customFormat="false" ht="15" hidden="false" customHeight="false" outlineLevel="0" collapsed="false">
      <c r="A3" s="24" t="s">
        <v>162</v>
      </c>
      <c r="B3" s="24" t="s">
        <v>163</v>
      </c>
      <c r="C3" s="24" t="s">
        <v>164</v>
      </c>
      <c r="D3" s="24" t="s">
        <v>165</v>
      </c>
      <c r="E3" s="24" t="s">
        <v>166</v>
      </c>
      <c r="F3" s="24" t="s">
        <v>132</v>
      </c>
      <c r="G3" s="24" t="s">
        <v>145</v>
      </c>
      <c r="H3" s="27" t="s">
        <v>167</v>
      </c>
      <c r="I3" s="27" t="s">
        <v>168</v>
      </c>
      <c r="K3" s="25" t="str">
        <f aca="false">IF($A3="","","INSERT INTO Posts (Titulo_Post, Resumo, URL_Post, URL_Imagem, Fonte, ID_Categoria, ID_Autor, DataPublicacao, DataColeta) SELECT "&amp;"'"&amp;SUBSTITUTE($A3,"'","''")&amp;"'"&amp;", "&amp;IF($B3="","NULL","'"&amp;SUBSTITUTE($B3,"'","''")&amp;"'")&amp;", "&amp;"'"&amp;SUBSTITUTE($C3,"'","''")&amp;"'"&amp;", "&amp;IF($D3="","NULL","'"&amp;SUBSTITUTE($D3,"'","''")&amp;"'")&amp;", "&amp;IF($E3="","NULL","'"&amp;SUBSTITUTE($E3,"'","''")&amp;"'")&amp;", "&amp;"(SELECT ID_Categoria FROM Categorias WHERE NomeCategoria = '"&amp;SUBSTITUTE($F3,"'","''")&amp;"')"&amp;", "&amp;IF($G3="","NULL","(SELECT ID_Usuario FROM Usuario WHERE NomeUsuario = '"&amp;SUBSTITUTE($G3,"'","''")&amp;"')")&amp;", "&amp;"'"&amp;SUBSTITUTE($H3,"'","''")&amp;"'"&amp;", "&amp;IF($I3="","SYSDATETIME()","'"&amp;SUBSTITUTE($I3,"'","''")&amp;"'")&amp;" WHERE NOT EXISTS (SELECT 1 FROM Posts WHERE URL_Post = "&amp;"'"&amp;SUBSTITUTE($C3,"'","''")&amp;"'"&amp;");")</f>
        <v>INSERT INTO Posts (Titulo_Post, Resumo, URL_Post, URL_Imagem, Fonte, ID_Categoria, ID_Autor, DataPublicacao, DataColeta) SELECT 'Novo lisimetro monitora consumo de agua em tempo real', 'Equipamento instalado no campus mede a evapotranspiracao com precisao de 0,1 mm.', 'https://exemplo.com/noticias/lisimetro-tempo-real', 'https://exemplo.com/img/lisimetro.jpg', 'Agencia Brasil', (SELECT ID_Categoria FROM Categorias WHERE NomeCategoria = 'Tecnologia'), (SELECT ID_Usuario FROM Usuario WHERE NomeUsuario = 'wjunior'), '2026-09-20 08:30:00', '2026-09-21 09:05:00' WHERE NOT EXISTS (SELECT 1 FROM Posts WHERE URL_Post = 'https://exemplo.com/noticias/lisimetro-tempo-real');</v>
      </c>
    </row>
    <row r="4" customFormat="false" ht="15" hidden="false" customHeight="false" outlineLevel="0" collapsed="false">
      <c r="A4" s="26"/>
      <c r="B4" s="26"/>
      <c r="C4" s="26"/>
      <c r="D4" s="26"/>
      <c r="E4" s="26"/>
      <c r="F4" s="26"/>
      <c r="G4" s="26"/>
      <c r="H4" s="28"/>
      <c r="I4" s="28"/>
      <c r="K4" s="25" t="str">
        <f aca="false">IF($A4="","","INSERT INTO Posts (Titulo_Post, Resumo, URL_Post, URL_Imagem, Fonte, ID_Categoria, ID_Autor, DataPublicacao, DataColeta) SELECT "&amp;"'"&amp;SUBSTITUTE($A4,"'","''")&amp;"'"&amp;", "&amp;IF($B4="","NULL","'"&amp;SUBSTITUTE($B4,"'","''")&amp;"'")&amp;", "&amp;"'"&amp;SUBSTITUTE($C4,"'","''")&amp;"'"&amp;", "&amp;IF($D4="","NULL","'"&amp;SUBSTITUTE($D4,"'","''")&amp;"'")&amp;", "&amp;IF($E4="","NULL","'"&amp;SUBSTITUTE($E4,"'","''")&amp;"'")&amp;", "&amp;"(SELECT ID_Categoria FROM Categorias WHERE NomeCategoria = '"&amp;SUBSTITUTE($F4,"'","''")&amp;"')"&amp;", "&amp;IF($G4="","NULL","(SELECT ID_Usuario FROM Usuario WHERE NomeUsuario = '"&amp;SUBSTITUTE($G4,"'","''")&amp;"')")&amp;", "&amp;"'"&amp;SUBSTITUTE($H4,"'","''")&amp;"'"&amp;", "&amp;IF($I4="","SYSDATETIME()","'"&amp;SUBSTITUTE($I4,"'","''")&amp;"'")&amp;" WHERE NOT EXISTS (SELECT 1 FROM Posts WHERE URL_Post = "&amp;"'"&amp;SUBSTITUTE($C4,"'","''")&amp;"'"&amp;");")</f>
        <v/>
      </c>
    </row>
    <row r="5" customFormat="false" ht="15" hidden="false" customHeight="false" outlineLevel="0" collapsed="false">
      <c r="A5" s="26"/>
      <c r="B5" s="26"/>
      <c r="C5" s="26"/>
      <c r="D5" s="26"/>
      <c r="E5" s="26"/>
      <c r="F5" s="26"/>
      <c r="G5" s="26"/>
      <c r="H5" s="28"/>
      <c r="I5" s="28"/>
      <c r="K5" s="25" t="str">
        <f aca="false">IF($A5="","","INSERT INTO Posts (Titulo_Post, Resumo, URL_Post, URL_Imagem, Fonte, ID_Categoria, ID_Autor, DataPublicacao, DataColeta) SELECT "&amp;"'"&amp;SUBSTITUTE($A5,"'","''")&amp;"'"&amp;", "&amp;IF($B5="","NULL","'"&amp;SUBSTITUTE($B5,"'","''")&amp;"'")&amp;", "&amp;"'"&amp;SUBSTITUTE($C5,"'","''")&amp;"'"&amp;", "&amp;IF($D5="","NULL","'"&amp;SUBSTITUTE($D5,"'","''")&amp;"'")&amp;", "&amp;IF($E5="","NULL","'"&amp;SUBSTITUTE($E5,"'","''")&amp;"'")&amp;", "&amp;"(SELECT ID_Categoria FROM Categorias WHERE NomeCategoria = '"&amp;SUBSTITUTE($F5,"'","''")&amp;"')"&amp;", "&amp;IF($G5="","NULL","(SELECT ID_Usuario FROM Usuario WHERE NomeUsuario = '"&amp;SUBSTITUTE($G5,"'","''")&amp;"')")&amp;", "&amp;"'"&amp;SUBSTITUTE($H5,"'","''")&amp;"'"&amp;", "&amp;IF($I5="","SYSDATETIME()","'"&amp;SUBSTITUTE($I5,"'","''")&amp;"'")&amp;" WHERE NOT EXISTS (SELECT 1 FROM Posts WHERE URL_Post = "&amp;"'"&amp;SUBSTITUTE($C5,"'","''")&amp;"'"&amp;");")</f>
        <v/>
      </c>
    </row>
    <row r="6" customFormat="false" ht="15" hidden="false" customHeight="false" outlineLevel="0" collapsed="false">
      <c r="A6" s="26"/>
      <c r="B6" s="26"/>
      <c r="C6" s="26"/>
      <c r="D6" s="26"/>
      <c r="E6" s="26"/>
      <c r="F6" s="26"/>
      <c r="G6" s="26"/>
      <c r="H6" s="28"/>
      <c r="I6" s="28"/>
      <c r="K6" s="25" t="str">
        <f aca="false">IF($A6="","","INSERT INTO Posts (Titulo_Post, Resumo, URL_Post, URL_Imagem, Fonte, ID_Categoria, ID_Autor, DataPublicacao, DataColeta) SELECT "&amp;"'"&amp;SUBSTITUTE($A6,"'","''")&amp;"'"&amp;", "&amp;IF($B6="","NULL","'"&amp;SUBSTITUTE($B6,"'","''")&amp;"'")&amp;", "&amp;"'"&amp;SUBSTITUTE($C6,"'","''")&amp;"'"&amp;", "&amp;IF($D6="","NULL","'"&amp;SUBSTITUTE($D6,"'","''")&amp;"'")&amp;", "&amp;IF($E6="","NULL","'"&amp;SUBSTITUTE($E6,"'","''")&amp;"'")&amp;", "&amp;"(SELECT ID_Categoria FROM Categorias WHERE NomeCategoria = '"&amp;SUBSTITUTE($F6,"'","''")&amp;"')"&amp;", "&amp;IF($G6="","NULL","(SELECT ID_Usuario FROM Usuario WHERE NomeUsuario = '"&amp;SUBSTITUTE($G6,"'","''")&amp;"')")&amp;", "&amp;"'"&amp;SUBSTITUTE($H6,"'","''")&amp;"'"&amp;", "&amp;IF($I6="","SYSDATETIME()","'"&amp;SUBSTITUTE($I6,"'","''")&amp;"'")&amp;" WHERE NOT EXISTS (SELECT 1 FROM Posts WHERE URL_Post = "&amp;"'"&amp;SUBSTITUTE($C6,"'","''")&amp;"'"&amp;");")</f>
        <v/>
      </c>
    </row>
    <row r="7" customFormat="false" ht="15" hidden="false" customHeight="false" outlineLevel="0" collapsed="false">
      <c r="A7" s="26"/>
      <c r="B7" s="26"/>
      <c r="C7" s="26"/>
      <c r="D7" s="26"/>
      <c r="E7" s="26"/>
      <c r="F7" s="26"/>
      <c r="G7" s="26"/>
      <c r="H7" s="28"/>
      <c r="I7" s="28"/>
      <c r="K7" s="25" t="str">
        <f aca="false">IF($A7="","","INSERT INTO Posts (Titulo_Post, Resumo, URL_Post, URL_Imagem, Fonte, ID_Categoria, ID_Autor, DataPublicacao, DataColeta) SELECT "&amp;"'"&amp;SUBSTITUTE($A7,"'","''")&amp;"'"&amp;", "&amp;IF($B7="","NULL","'"&amp;SUBSTITUTE($B7,"'","''")&amp;"'")&amp;", "&amp;"'"&amp;SUBSTITUTE($C7,"'","''")&amp;"'"&amp;", "&amp;IF($D7="","NULL","'"&amp;SUBSTITUTE($D7,"'","''")&amp;"'")&amp;", "&amp;IF($E7="","NULL","'"&amp;SUBSTITUTE($E7,"'","''")&amp;"'")&amp;", "&amp;"(SELECT ID_Categoria FROM Categorias WHERE NomeCategoria = '"&amp;SUBSTITUTE($F7,"'","''")&amp;"')"&amp;", "&amp;IF($G7="","NULL","(SELECT ID_Usuario FROM Usuario WHERE NomeUsuario = '"&amp;SUBSTITUTE($G7,"'","''")&amp;"')")&amp;", "&amp;"'"&amp;SUBSTITUTE($H7,"'","''")&amp;"'"&amp;", "&amp;IF($I7="","SYSDATETIME()","'"&amp;SUBSTITUTE($I7,"'","''")&amp;"'")&amp;" WHERE NOT EXISTS (SELECT 1 FROM Posts WHERE URL_Post = "&amp;"'"&amp;SUBSTITUTE($C7,"'","''")&amp;"'"&amp;");")</f>
        <v/>
      </c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  <c r="G8" s="26"/>
      <c r="H8" s="28"/>
      <c r="I8" s="28"/>
      <c r="K8" s="25" t="str">
        <f aca="false">IF($A8="","","INSERT INTO Posts (Titulo_Post, Resumo, URL_Post, URL_Imagem, Fonte, ID_Categoria, ID_Autor, DataPublicacao, DataColeta) SELECT "&amp;"'"&amp;SUBSTITUTE($A8,"'","''")&amp;"'"&amp;", "&amp;IF($B8="","NULL","'"&amp;SUBSTITUTE($B8,"'","''")&amp;"'")&amp;", "&amp;"'"&amp;SUBSTITUTE($C8,"'","''")&amp;"'"&amp;", "&amp;IF($D8="","NULL","'"&amp;SUBSTITUTE($D8,"'","''")&amp;"'")&amp;", "&amp;IF($E8="","NULL","'"&amp;SUBSTITUTE($E8,"'","''")&amp;"'")&amp;", "&amp;"(SELECT ID_Categoria FROM Categorias WHERE NomeCategoria = '"&amp;SUBSTITUTE($F8,"'","''")&amp;"')"&amp;", "&amp;IF($G8="","NULL","(SELECT ID_Usuario FROM Usuario WHERE NomeUsuario = '"&amp;SUBSTITUTE($G8,"'","''")&amp;"')")&amp;", "&amp;"'"&amp;SUBSTITUTE($H8,"'","''")&amp;"'"&amp;", "&amp;IF($I8="","SYSDATETIME()","'"&amp;SUBSTITUTE($I8,"'","''")&amp;"'")&amp;" WHERE NOT EXISTS (SELECT 1 FROM Posts WHERE URL_Post = "&amp;"'"&amp;SUBSTITUTE($C8,"'","''")&amp;"'"&amp;");")</f>
        <v/>
      </c>
    </row>
    <row r="9" customFormat="false" ht="15" hidden="false" customHeight="false" outlineLevel="0" collapsed="false">
      <c r="A9" s="26"/>
      <c r="B9" s="26"/>
      <c r="C9" s="26"/>
      <c r="D9" s="26"/>
      <c r="E9" s="26"/>
      <c r="F9" s="26"/>
      <c r="G9" s="26"/>
      <c r="H9" s="28"/>
      <c r="I9" s="28"/>
      <c r="K9" s="25" t="str">
        <f aca="false">IF($A9="","","INSERT INTO Posts (Titulo_Post, Resumo, URL_Post, URL_Imagem, Fonte, ID_Categoria, ID_Autor, DataPublicacao, DataColeta) SELECT "&amp;"'"&amp;SUBSTITUTE($A9,"'","''")&amp;"'"&amp;", "&amp;IF($B9="","NULL","'"&amp;SUBSTITUTE($B9,"'","''")&amp;"'")&amp;", "&amp;"'"&amp;SUBSTITUTE($C9,"'","''")&amp;"'"&amp;", "&amp;IF($D9="","NULL","'"&amp;SUBSTITUTE($D9,"'","''")&amp;"'")&amp;", "&amp;IF($E9="","NULL","'"&amp;SUBSTITUTE($E9,"'","''")&amp;"'")&amp;", "&amp;"(SELECT ID_Categoria FROM Categorias WHERE NomeCategoria = '"&amp;SUBSTITUTE($F9,"'","''")&amp;"')"&amp;", "&amp;IF($G9="","NULL","(SELECT ID_Usuario FROM Usuario WHERE NomeUsuario = '"&amp;SUBSTITUTE($G9,"'","''")&amp;"')")&amp;", "&amp;"'"&amp;SUBSTITUTE($H9,"'","''")&amp;"'"&amp;", "&amp;IF($I9="","SYSDATETIME()","'"&amp;SUBSTITUTE($I9,"'","''")&amp;"'")&amp;" WHERE NOT EXISTS (SELECT 1 FROM Posts WHERE URL_Post = "&amp;"'"&amp;SUBSTITUTE($C9,"'","''")&amp;"'"&amp;");")</f>
        <v/>
      </c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  <c r="G10" s="26"/>
      <c r="H10" s="28"/>
      <c r="I10" s="28"/>
      <c r="K10" s="25" t="str">
        <f aca="false">IF($A10="","","INSERT INTO Posts (Titulo_Post, Resumo, URL_Post, URL_Imagem, Fonte, ID_Categoria, ID_Autor, DataPublicacao, DataColeta) SELECT "&amp;"'"&amp;SUBSTITUTE($A10,"'","''")&amp;"'"&amp;", "&amp;IF($B10="","NULL","'"&amp;SUBSTITUTE($B10,"'","''")&amp;"'")&amp;", "&amp;"'"&amp;SUBSTITUTE($C10,"'","''")&amp;"'"&amp;", "&amp;IF($D10="","NULL","'"&amp;SUBSTITUTE($D10,"'","''")&amp;"'")&amp;", "&amp;IF($E10="","NULL","'"&amp;SUBSTITUTE($E10,"'","''")&amp;"'")&amp;", "&amp;"(SELECT ID_Categoria FROM Categorias WHERE NomeCategoria = '"&amp;SUBSTITUTE($F10,"'","''")&amp;"')"&amp;", "&amp;IF($G10="","NULL","(SELECT ID_Usuario FROM Usuario WHERE NomeUsuario = '"&amp;SUBSTITUTE($G10,"'","''")&amp;"')")&amp;", "&amp;"'"&amp;SUBSTITUTE($H10,"'","''")&amp;"'"&amp;", "&amp;IF($I10="","SYSDATETIME()","'"&amp;SUBSTITUTE($I10,"'","''")&amp;"'")&amp;" WHERE NOT EXISTS (SELECT 1 FROM Posts WHERE URL_Post = "&amp;"'"&amp;SUBSTITUTE($C10,"'","''")&amp;"'"&amp;");")</f>
        <v/>
      </c>
    </row>
    <row r="11" customFormat="false" ht="15" hidden="false" customHeight="false" outlineLevel="0" collapsed="false">
      <c r="A11" s="26"/>
      <c r="B11" s="26"/>
      <c r="C11" s="26"/>
      <c r="D11" s="26"/>
      <c r="E11" s="26"/>
      <c r="F11" s="26"/>
      <c r="G11" s="26"/>
      <c r="H11" s="28"/>
      <c r="I11" s="28"/>
      <c r="K11" s="25" t="str">
        <f aca="false">IF($A11="","","INSERT INTO Posts (Titulo_Post, Resumo, URL_Post, URL_Imagem, Fonte, ID_Categoria, ID_Autor, DataPublicacao, DataColeta) SELECT "&amp;"'"&amp;SUBSTITUTE($A11,"'","''")&amp;"'"&amp;", "&amp;IF($B11="","NULL","'"&amp;SUBSTITUTE($B11,"'","''")&amp;"'")&amp;", "&amp;"'"&amp;SUBSTITUTE($C11,"'","''")&amp;"'"&amp;", "&amp;IF($D11="","NULL","'"&amp;SUBSTITUTE($D11,"'","''")&amp;"'")&amp;", "&amp;IF($E11="","NULL","'"&amp;SUBSTITUTE($E11,"'","''")&amp;"'")&amp;", "&amp;"(SELECT ID_Categoria FROM Categorias WHERE NomeCategoria = '"&amp;SUBSTITUTE($F11,"'","''")&amp;"')"&amp;", "&amp;IF($G11="","NULL","(SELECT ID_Usuario FROM Usuario WHERE NomeUsuario = '"&amp;SUBSTITUTE($G11,"'","''")&amp;"')")&amp;", "&amp;"'"&amp;SUBSTITUTE($H11,"'","''")&amp;"'"&amp;", "&amp;IF($I11="","SYSDATETIME()","'"&amp;SUBSTITUTE($I11,"'","''")&amp;"'")&amp;" WHERE NOT EXISTS (SELECT 1 FROM Posts WHERE URL_Post = "&amp;"'"&amp;SUBSTITUTE($C11,"'","''")&amp;"'"&amp;");")</f>
        <v/>
      </c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6"/>
      <c r="G12" s="26"/>
      <c r="H12" s="28"/>
      <c r="I12" s="28"/>
      <c r="K12" s="25" t="str">
        <f aca="false">IF($A12="","","INSERT INTO Posts (Titulo_Post, Resumo, URL_Post, URL_Imagem, Fonte, ID_Categoria, ID_Autor, DataPublicacao, DataColeta) SELECT "&amp;"'"&amp;SUBSTITUTE($A12,"'","''")&amp;"'"&amp;", "&amp;IF($B12="","NULL","'"&amp;SUBSTITUTE($B12,"'","''")&amp;"'")&amp;", "&amp;"'"&amp;SUBSTITUTE($C12,"'","''")&amp;"'"&amp;", "&amp;IF($D12="","NULL","'"&amp;SUBSTITUTE($D12,"'","''")&amp;"'")&amp;", "&amp;IF($E12="","NULL","'"&amp;SUBSTITUTE($E12,"'","''")&amp;"'")&amp;", "&amp;"(SELECT ID_Categoria FROM Categorias WHERE NomeCategoria = '"&amp;SUBSTITUTE($F12,"'","''")&amp;"')"&amp;", "&amp;IF($G12="","NULL","(SELECT ID_Usuario FROM Usuario WHERE NomeUsuario = '"&amp;SUBSTITUTE($G12,"'","''")&amp;"')")&amp;", "&amp;"'"&amp;SUBSTITUTE($H12,"'","''")&amp;"'"&amp;", "&amp;IF($I12="","SYSDATETIME()","'"&amp;SUBSTITUTE($I12,"'","''")&amp;"'")&amp;" WHERE NOT EXISTS (SELECT 1 FROM Posts WHERE URL_Post = "&amp;"'"&amp;SUBSTITUTE($C12,"'","''")&amp;"'"&amp;");")</f>
        <v/>
      </c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  <c r="G13" s="26"/>
      <c r="H13" s="28"/>
      <c r="I13" s="28"/>
      <c r="K13" s="25" t="str">
        <f aca="false">IF($A13="","","INSERT INTO Posts (Titulo_Post, Resumo, URL_Post, URL_Imagem, Fonte, ID_Categoria, ID_Autor, DataPublicacao, DataColeta) SELECT "&amp;"'"&amp;SUBSTITUTE($A13,"'","''")&amp;"'"&amp;", "&amp;IF($B13="","NULL","'"&amp;SUBSTITUTE($B13,"'","''")&amp;"'")&amp;", "&amp;"'"&amp;SUBSTITUTE($C13,"'","''")&amp;"'"&amp;", "&amp;IF($D13="","NULL","'"&amp;SUBSTITUTE($D13,"'","''")&amp;"'")&amp;", "&amp;IF($E13="","NULL","'"&amp;SUBSTITUTE($E13,"'","''")&amp;"'")&amp;", "&amp;"(SELECT ID_Categoria FROM Categorias WHERE NomeCategoria = '"&amp;SUBSTITUTE($F13,"'","''")&amp;"')"&amp;", "&amp;IF($G13="","NULL","(SELECT ID_Usuario FROM Usuario WHERE NomeUsuario = '"&amp;SUBSTITUTE($G13,"'","''")&amp;"')")&amp;", "&amp;"'"&amp;SUBSTITUTE($H13,"'","''")&amp;"'"&amp;", "&amp;IF($I13="","SYSDATETIME()","'"&amp;SUBSTITUTE($I13,"'","''")&amp;"'")&amp;" WHERE NOT EXISTS (SELECT 1 FROM Posts WHERE URL_Post = "&amp;"'"&amp;SUBSTITUTE($C13,"'","''")&amp;"'"&amp;");")</f>
        <v/>
      </c>
    </row>
    <row r="14" customFormat="false" ht="15" hidden="false" customHeight="false" outlineLevel="0" collapsed="false">
      <c r="A14" s="26"/>
      <c r="B14" s="26"/>
      <c r="C14" s="26"/>
      <c r="D14" s="26"/>
      <c r="E14" s="26"/>
      <c r="F14" s="26"/>
      <c r="G14" s="26"/>
      <c r="H14" s="28"/>
      <c r="I14" s="28"/>
      <c r="K14" s="25" t="str">
        <f aca="false">IF($A14="","","INSERT INTO Posts (Titulo_Post, Resumo, URL_Post, URL_Imagem, Fonte, ID_Categoria, ID_Autor, DataPublicacao, DataColeta) SELECT "&amp;"'"&amp;SUBSTITUTE($A14,"'","''")&amp;"'"&amp;", "&amp;IF($B14="","NULL","'"&amp;SUBSTITUTE($B14,"'","''")&amp;"'")&amp;", "&amp;"'"&amp;SUBSTITUTE($C14,"'","''")&amp;"'"&amp;", "&amp;IF($D14="","NULL","'"&amp;SUBSTITUTE($D14,"'","''")&amp;"'")&amp;", "&amp;IF($E14="","NULL","'"&amp;SUBSTITUTE($E14,"'","''")&amp;"'")&amp;", "&amp;"(SELECT ID_Categoria FROM Categorias WHERE NomeCategoria = '"&amp;SUBSTITUTE($F14,"'","''")&amp;"')"&amp;", "&amp;IF($G14="","NULL","(SELECT ID_Usuario FROM Usuario WHERE NomeUsuario = '"&amp;SUBSTITUTE($G14,"'","''")&amp;"')")&amp;", "&amp;"'"&amp;SUBSTITUTE($H14,"'","''")&amp;"'"&amp;", "&amp;IF($I14="","SYSDATETIME()","'"&amp;SUBSTITUTE($I14,"'","''")&amp;"'")&amp;" WHERE NOT EXISTS (SELECT 1 FROM Posts WHERE URL_Post = "&amp;"'"&amp;SUBSTITUTE($C14,"'","''")&amp;"'"&amp;");")</f>
        <v/>
      </c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  <c r="G15" s="26"/>
      <c r="H15" s="28"/>
      <c r="I15" s="28"/>
      <c r="K15" s="25" t="str">
        <f aca="false">IF($A15="","","INSERT INTO Posts (Titulo_Post, Resumo, URL_Post, URL_Imagem, Fonte, ID_Categoria, ID_Autor, DataPublicacao, DataColeta) SELECT "&amp;"'"&amp;SUBSTITUTE($A15,"'","''")&amp;"'"&amp;", "&amp;IF($B15="","NULL","'"&amp;SUBSTITUTE($B15,"'","''")&amp;"'")&amp;", "&amp;"'"&amp;SUBSTITUTE($C15,"'","''")&amp;"'"&amp;", "&amp;IF($D15="","NULL","'"&amp;SUBSTITUTE($D15,"'","''")&amp;"'")&amp;", "&amp;IF($E15="","NULL","'"&amp;SUBSTITUTE($E15,"'","''")&amp;"'")&amp;", "&amp;"(SELECT ID_Categoria FROM Categorias WHERE NomeCategoria = '"&amp;SUBSTITUTE($F15,"'","''")&amp;"')"&amp;", "&amp;IF($G15="","NULL","(SELECT ID_Usuario FROM Usuario WHERE NomeUsuario = '"&amp;SUBSTITUTE($G15,"'","''")&amp;"')")&amp;", "&amp;"'"&amp;SUBSTITUTE($H15,"'","''")&amp;"'"&amp;", "&amp;IF($I15="","SYSDATETIME()","'"&amp;SUBSTITUTE($I15,"'","''")&amp;"'")&amp;" WHERE NOT EXISTS (SELECT 1 FROM Posts WHERE URL_Post = "&amp;"'"&amp;SUBSTITUTE($C15,"'","''")&amp;"'"&amp;");")</f>
        <v/>
      </c>
    </row>
    <row r="16" customFormat="false" ht="15" hidden="false" customHeight="false" outlineLevel="0" collapsed="false">
      <c r="A16" s="26"/>
      <c r="B16" s="26"/>
      <c r="C16" s="26"/>
      <c r="D16" s="26"/>
      <c r="E16" s="26"/>
      <c r="F16" s="26"/>
      <c r="G16" s="26"/>
      <c r="H16" s="28"/>
      <c r="I16" s="28"/>
      <c r="K16" s="25" t="str">
        <f aca="false">IF($A16="","","INSERT INTO Posts (Titulo_Post, Resumo, URL_Post, URL_Imagem, Fonte, ID_Categoria, ID_Autor, DataPublicacao, DataColeta) SELECT "&amp;"'"&amp;SUBSTITUTE($A16,"'","''")&amp;"'"&amp;", "&amp;IF($B16="","NULL","'"&amp;SUBSTITUTE($B16,"'","''")&amp;"'")&amp;", "&amp;"'"&amp;SUBSTITUTE($C16,"'","''")&amp;"'"&amp;", "&amp;IF($D16="","NULL","'"&amp;SUBSTITUTE($D16,"'","''")&amp;"'")&amp;", "&amp;IF($E16="","NULL","'"&amp;SUBSTITUTE($E16,"'","''")&amp;"'")&amp;", "&amp;"(SELECT ID_Categoria FROM Categorias WHERE NomeCategoria = '"&amp;SUBSTITUTE($F16,"'","''")&amp;"')"&amp;", "&amp;IF($G16="","NULL","(SELECT ID_Usuario FROM Usuario WHERE NomeUsuario = '"&amp;SUBSTITUTE($G16,"'","''")&amp;"')")&amp;", "&amp;"'"&amp;SUBSTITUTE($H16,"'","''")&amp;"'"&amp;", "&amp;IF($I16="","SYSDATETIME()","'"&amp;SUBSTITUTE($I16,"'","''")&amp;"'")&amp;" WHERE NOT EXISTS (SELECT 1 FROM Posts WHERE URL_Post = "&amp;"'"&amp;SUBSTITUTE($C16,"'","''")&amp;"'"&amp;");")</f>
        <v/>
      </c>
    </row>
    <row r="17" customFormat="false" ht="15" hidden="false" customHeight="false" outlineLevel="0" collapsed="false">
      <c r="A17" s="26"/>
      <c r="B17" s="26"/>
      <c r="C17" s="26"/>
      <c r="D17" s="26"/>
      <c r="E17" s="26"/>
      <c r="F17" s="26"/>
      <c r="G17" s="26"/>
      <c r="H17" s="28"/>
      <c r="I17" s="28"/>
      <c r="K17" s="25" t="str">
        <f aca="false">IF($A17="","","INSERT INTO Posts (Titulo_Post, Resumo, URL_Post, URL_Imagem, Fonte, ID_Categoria, ID_Autor, DataPublicacao, DataColeta) SELECT "&amp;"'"&amp;SUBSTITUTE($A17,"'","''")&amp;"'"&amp;", "&amp;IF($B17="","NULL","'"&amp;SUBSTITUTE($B17,"'","''")&amp;"'")&amp;", "&amp;"'"&amp;SUBSTITUTE($C17,"'","''")&amp;"'"&amp;", "&amp;IF($D17="","NULL","'"&amp;SUBSTITUTE($D17,"'","''")&amp;"'")&amp;", "&amp;IF($E17="","NULL","'"&amp;SUBSTITUTE($E17,"'","''")&amp;"'")&amp;", "&amp;"(SELECT ID_Categoria FROM Categorias WHERE NomeCategoria = '"&amp;SUBSTITUTE($F17,"'","''")&amp;"')"&amp;", "&amp;IF($G17="","NULL","(SELECT ID_Usuario FROM Usuario WHERE NomeUsuario = '"&amp;SUBSTITUTE($G17,"'","''")&amp;"')")&amp;", "&amp;"'"&amp;SUBSTITUTE($H17,"'","''")&amp;"'"&amp;", "&amp;IF($I17="","SYSDATETIME()","'"&amp;SUBSTITUTE($I17,"'","''")&amp;"'")&amp;" WHERE NOT EXISTS (SELECT 1 FROM Posts WHERE URL_Post = "&amp;"'"&amp;SUBSTITUTE($C17,"'","''")&amp;"'"&amp;");")</f>
        <v/>
      </c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  <c r="G18" s="26"/>
      <c r="H18" s="28"/>
      <c r="I18" s="28"/>
      <c r="K18" s="25" t="str">
        <f aca="false">IF($A18="","","INSERT INTO Posts (Titulo_Post, Resumo, URL_Post, URL_Imagem, Fonte, ID_Categoria, ID_Autor, DataPublicacao, DataColeta) SELECT "&amp;"'"&amp;SUBSTITUTE($A18,"'","''")&amp;"'"&amp;", "&amp;IF($B18="","NULL","'"&amp;SUBSTITUTE($B18,"'","''")&amp;"'")&amp;", "&amp;"'"&amp;SUBSTITUTE($C18,"'","''")&amp;"'"&amp;", "&amp;IF($D18="","NULL","'"&amp;SUBSTITUTE($D18,"'","''")&amp;"'")&amp;", "&amp;IF($E18="","NULL","'"&amp;SUBSTITUTE($E18,"'","''")&amp;"'")&amp;", "&amp;"(SELECT ID_Categoria FROM Categorias WHERE NomeCategoria = '"&amp;SUBSTITUTE($F18,"'","''")&amp;"')"&amp;", "&amp;IF($G18="","NULL","(SELECT ID_Usuario FROM Usuario WHERE NomeUsuario = '"&amp;SUBSTITUTE($G18,"'","''")&amp;"')")&amp;", "&amp;"'"&amp;SUBSTITUTE($H18,"'","''")&amp;"'"&amp;", "&amp;IF($I18="","SYSDATETIME()","'"&amp;SUBSTITUTE($I18,"'","''")&amp;"'")&amp;" WHERE NOT EXISTS (SELECT 1 FROM Posts WHERE URL_Post = "&amp;"'"&amp;SUBSTITUTE($C18,"'","''")&amp;"'"&amp;");")</f>
        <v/>
      </c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  <c r="H19" s="28"/>
      <c r="I19" s="28"/>
      <c r="K19" s="25" t="str">
        <f aca="false">IF($A19="","","INSERT INTO Posts (Titulo_Post, Resumo, URL_Post, URL_Imagem, Fonte, ID_Categoria, ID_Autor, DataPublicacao, DataColeta) SELECT "&amp;"'"&amp;SUBSTITUTE($A19,"'","''")&amp;"'"&amp;", "&amp;IF($B19="","NULL","'"&amp;SUBSTITUTE($B19,"'","''")&amp;"'")&amp;", "&amp;"'"&amp;SUBSTITUTE($C19,"'","''")&amp;"'"&amp;", "&amp;IF($D19="","NULL","'"&amp;SUBSTITUTE($D19,"'","''")&amp;"'")&amp;", "&amp;IF($E19="","NULL","'"&amp;SUBSTITUTE($E19,"'","''")&amp;"'")&amp;", "&amp;"(SELECT ID_Categoria FROM Categorias WHERE NomeCategoria = '"&amp;SUBSTITUTE($F19,"'","''")&amp;"')"&amp;", "&amp;IF($G19="","NULL","(SELECT ID_Usuario FROM Usuario WHERE NomeUsuario = '"&amp;SUBSTITUTE($G19,"'","''")&amp;"')")&amp;", "&amp;"'"&amp;SUBSTITUTE($H19,"'","''")&amp;"'"&amp;", "&amp;IF($I19="","SYSDATETIME()","'"&amp;SUBSTITUTE($I19,"'","''")&amp;"'")&amp;" WHERE NOT EXISTS (SELECT 1 FROM Posts WHERE URL_Post = "&amp;"'"&amp;SUBSTITUTE($C19,"'","''")&amp;"'"&amp;");")</f>
        <v/>
      </c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  <c r="G20" s="26"/>
      <c r="H20" s="28"/>
      <c r="I20" s="28"/>
      <c r="K20" s="25" t="str">
        <f aca="false">IF($A20="","","INSERT INTO Posts (Titulo_Post, Resumo, URL_Post, URL_Imagem, Fonte, ID_Categoria, ID_Autor, DataPublicacao, DataColeta) SELECT "&amp;"'"&amp;SUBSTITUTE($A20,"'","''")&amp;"'"&amp;", "&amp;IF($B20="","NULL","'"&amp;SUBSTITUTE($B20,"'","''")&amp;"'")&amp;", "&amp;"'"&amp;SUBSTITUTE($C20,"'","''")&amp;"'"&amp;", "&amp;IF($D20="","NULL","'"&amp;SUBSTITUTE($D20,"'","''")&amp;"'")&amp;", "&amp;IF($E20="","NULL","'"&amp;SUBSTITUTE($E20,"'","''")&amp;"'")&amp;", "&amp;"(SELECT ID_Categoria FROM Categorias WHERE NomeCategoria = '"&amp;SUBSTITUTE($F20,"'","''")&amp;"')"&amp;", "&amp;IF($G20="","NULL","(SELECT ID_Usuario FROM Usuario WHERE NomeUsuario = '"&amp;SUBSTITUTE($G20,"'","''")&amp;"')")&amp;", "&amp;"'"&amp;SUBSTITUTE($H20,"'","''")&amp;"'"&amp;", "&amp;IF($I20="","SYSDATETIME()","'"&amp;SUBSTITUTE($I20,"'","''")&amp;"'")&amp;" WHERE NOT EXISTS (SELECT 1 FROM Posts WHERE URL_Post = "&amp;"'"&amp;SUBSTITUTE($C20,"'","''")&amp;"'"&amp;");")</f>
        <v/>
      </c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  <c r="G21" s="26"/>
      <c r="H21" s="28"/>
      <c r="I21" s="28"/>
      <c r="K21" s="25" t="str">
        <f aca="false">IF($A21="","","INSERT INTO Posts (Titulo_Post, Resumo, URL_Post, URL_Imagem, Fonte, ID_Categoria, ID_Autor, DataPublicacao, DataColeta) SELECT "&amp;"'"&amp;SUBSTITUTE($A21,"'","''")&amp;"'"&amp;", "&amp;IF($B21="","NULL","'"&amp;SUBSTITUTE($B21,"'","''")&amp;"'")&amp;", "&amp;"'"&amp;SUBSTITUTE($C21,"'","''")&amp;"'"&amp;", "&amp;IF($D21="","NULL","'"&amp;SUBSTITUTE($D21,"'","''")&amp;"'")&amp;", "&amp;IF($E21="","NULL","'"&amp;SUBSTITUTE($E21,"'","''")&amp;"'")&amp;", "&amp;"(SELECT ID_Categoria FROM Categorias WHERE NomeCategoria = '"&amp;SUBSTITUTE($F21,"'","''")&amp;"')"&amp;", "&amp;IF($G21="","NULL","(SELECT ID_Usuario FROM Usuario WHERE NomeUsuario = '"&amp;SUBSTITUTE($G21,"'","''")&amp;"')")&amp;", "&amp;"'"&amp;SUBSTITUTE($H21,"'","''")&amp;"'"&amp;", "&amp;IF($I21="","SYSDATETIME()","'"&amp;SUBSTITUTE($I21,"'","''")&amp;"'")&amp;" WHERE NOT EXISTS (SELECT 1 FROM Posts WHERE URL_Post = "&amp;"'"&amp;SUBSTITUTE($C21,"'","''")&amp;"'"&amp;");")</f>
        <v/>
      </c>
    </row>
    <row r="22" customFormat="false" ht="15" hidden="false" customHeight="false" outlineLevel="0" collapsed="false">
      <c r="A22" s="26"/>
      <c r="B22" s="26"/>
      <c r="C22" s="26"/>
      <c r="D22" s="26"/>
      <c r="E22" s="26"/>
      <c r="F22" s="26"/>
      <c r="G22" s="26"/>
      <c r="H22" s="28"/>
      <c r="I22" s="28"/>
      <c r="K22" s="25" t="str">
        <f aca="false">IF($A22="","","INSERT INTO Posts (Titulo_Post, Resumo, URL_Post, URL_Imagem, Fonte, ID_Categoria, ID_Autor, DataPublicacao, DataColeta) SELECT "&amp;"'"&amp;SUBSTITUTE($A22,"'","''")&amp;"'"&amp;", "&amp;IF($B22="","NULL","'"&amp;SUBSTITUTE($B22,"'","''")&amp;"'")&amp;", "&amp;"'"&amp;SUBSTITUTE($C22,"'","''")&amp;"'"&amp;", "&amp;IF($D22="","NULL","'"&amp;SUBSTITUTE($D22,"'","''")&amp;"'")&amp;", "&amp;IF($E22="","NULL","'"&amp;SUBSTITUTE($E22,"'","''")&amp;"'")&amp;", "&amp;"(SELECT ID_Categoria FROM Categorias WHERE NomeCategoria = '"&amp;SUBSTITUTE($F22,"'","''")&amp;"')"&amp;", "&amp;IF($G22="","NULL","(SELECT ID_Usuario FROM Usuario WHERE NomeUsuario = '"&amp;SUBSTITUTE($G22,"'","''")&amp;"')")&amp;", "&amp;"'"&amp;SUBSTITUTE($H22,"'","''")&amp;"'"&amp;", "&amp;IF($I22="","SYSDATETIME()","'"&amp;SUBSTITUTE($I22,"'","''")&amp;"'")&amp;" WHERE NOT EXISTS (SELECT 1 FROM Posts WHERE URL_Post = "&amp;"'"&amp;SUBSTITUTE($C22,"'","''")&amp;"'"&amp;");")</f>
        <v/>
      </c>
    </row>
    <row r="23" customFormat="false" ht="15" hidden="false" customHeight="false" outlineLevel="0" collapsed="false">
      <c r="A23" s="26"/>
      <c r="B23" s="26"/>
      <c r="C23" s="26"/>
      <c r="D23" s="26"/>
      <c r="E23" s="26"/>
      <c r="F23" s="26"/>
      <c r="G23" s="26"/>
      <c r="H23" s="28"/>
      <c r="I23" s="28"/>
      <c r="K23" s="25" t="str">
        <f aca="false">IF($A23="","","INSERT INTO Posts (Titulo_Post, Resumo, URL_Post, URL_Imagem, Fonte, ID_Categoria, ID_Autor, DataPublicacao, DataColeta) SELECT "&amp;"'"&amp;SUBSTITUTE($A23,"'","''")&amp;"'"&amp;", "&amp;IF($B23="","NULL","'"&amp;SUBSTITUTE($B23,"'","''")&amp;"'")&amp;", "&amp;"'"&amp;SUBSTITUTE($C23,"'","''")&amp;"'"&amp;", "&amp;IF($D23="","NULL","'"&amp;SUBSTITUTE($D23,"'","''")&amp;"'")&amp;", "&amp;IF($E23="","NULL","'"&amp;SUBSTITUTE($E23,"'","''")&amp;"'")&amp;", "&amp;"(SELECT ID_Categoria FROM Categorias WHERE NomeCategoria = '"&amp;SUBSTITUTE($F23,"'","''")&amp;"')"&amp;", "&amp;IF($G23="","NULL","(SELECT ID_Usuario FROM Usuario WHERE NomeUsuario = '"&amp;SUBSTITUTE($G23,"'","''")&amp;"')")&amp;", "&amp;"'"&amp;SUBSTITUTE($H23,"'","''")&amp;"'"&amp;", "&amp;IF($I23="","SYSDATETIME()","'"&amp;SUBSTITUTE($I23,"'","''")&amp;"'")&amp;" WHERE NOT EXISTS (SELECT 1 FROM Posts WHERE URL_Post = "&amp;"'"&amp;SUBSTITUTE($C23,"'","''")&amp;"'"&amp;");")</f>
        <v/>
      </c>
    </row>
    <row r="24" customFormat="false" ht="15" hidden="false" customHeight="false" outlineLevel="0" collapsed="false">
      <c r="A24" s="26"/>
      <c r="B24" s="26"/>
      <c r="C24" s="26"/>
      <c r="D24" s="26"/>
      <c r="E24" s="26"/>
      <c r="F24" s="26"/>
      <c r="G24" s="26"/>
      <c r="H24" s="28"/>
      <c r="I24" s="28"/>
      <c r="K24" s="25" t="str">
        <f aca="false">IF($A24="","","INSERT INTO Posts (Titulo_Post, Resumo, URL_Post, URL_Imagem, Fonte, ID_Categoria, ID_Autor, DataPublicacao, DataColeta) SELECT "&amp;"'"&amp;SUBSTITUTE($A24,"'","''")&amp;"'"&amp;", "&amp;IF($B24="","NULL","'"&amp;SUBSTITUTE($B24,"'","''")&amp;"'")&amp;", "&amp;"'"&amp;SUBSTITUTE($C24,"'","''")&amp;"'"&amp;", "&amp;IF($D24="","NULL","'"&amp;SUBSTITUTE($D24,"'","''")&amp;"'")&amp;", "&amp;IF($E24="","NULL","'"&amp;SUBSTITUTE($E24,"'","''")&amp;"'")&amp;", "&amp;"(SELECT ID_Categoria FROM Categorias WHERE NomeCategoria = '"&amp;SUBSTITUTE($F24,"'","''")&amp;"')"&amp;", "&amp;IF($G24="","NULL","(SELECT ID_Usuario FROM Usuario WHERE NomeUsuario = '"&amp;SUBSTITUTE($G24,"'","''")&amp;"')")&amp;", "&amp;"'"&amp;SUBSTITUTE($H24,"'","''")&amp;"'"&amp;", "&amp;IF($I24="","SYSDATETIME()","'"&amp;SUBSTITUTE($I24,"'","''")&amp;"'")&amp;" WHERE NOT EXISTS (SELECT 1 FROM Posts WHERE URL_Post = "&amp;"'"&amp;SUBSTITUTE($C24,"'","''")&amp;"'"&amp;");")</f>
        <v/>
      </c>
    </row>
    <row r="25" customFormat="false" ht="15" hidden="false" customHeight="false" outlineLevel="0" collapsed="false">
      <c r="A25" s="26"/>
      <c r="B25" s="26"/>
      <c r="C25" s="26"/>
      <c r="D25" s="26"/>
      <c r="E25" s="26"/>
      <c r="F25" s="26"/>
      <c r="G25" s="26"/>
      <c r="H25" s="28"/>
      <c r="I25" s="28"/>
      <c r="K25" s="25" t="str">
        <f aca="false">IF($A25="","","INSERT INTO Posts (Titulo_Post, Resumo, URL_Post, URL_Imagem, Fonte, ID_Categoria, ID_Autor, DataPublicacao, DataColeta) SELECT "&amp;"'"&amp;SUBSTITUTE($A25,"'","''")&amp;"'"&amp;", "&amp;IF($B25="","NULL","'"&amp;SUBSTITUTE($B25,"'","''")&amp;"'")&amp;", "&amp;"'"&amp;SUBSTITUTE($C25,"'","''")&amp;"'"&amp;", "&amp;IF($D25="","NULL","'"&amp;SUBSTITUTE($D25,"'","''")&amp;"'")&amp;", "&amp;IF($E25="","NULL","'"&amp;SUBSTITUTE($E25,"'","''")&amp;"'")&amp;", "&amp;"(SELECT ID_Categoria FROM Categorias WHERE NomeCategoria = '"&amp;SUBSTITUTE($F25,"'","''")&amp;"')"&amp;", "&amp;IF($G25="","NULL","(SELECT ID_Usuario FROM Usuario WHERE NomeUsuario = '"&amp;SUBSTITUTE($G25,"'","''")&amp;"')")&amp;", "&amp;"'"&amp;SUBSTITUTE($H25,"'","''")&amp;"'"&amp;", "&amp;IF($I25="","SYSDATETIME()","'"&amp;SUBSTITUTE($I25,"'","''")&amp;"'")&amp;" WHERE NOT EXISTS (SELECT 1 FROM Posts WHERE URL_Post = "&amp;"'"&amp;SUBSTITUTE($C25,"'","''")&amp;"'"&amp;");")</f>
        <v/>
      </c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8"/>
      <c r="I26" s="28"/>
      <c r="K26" s="25" t="str">
        <f aca="false">IF($A26="","","INSERT INTO Posts (Titulo_Post, Resumo, URL_Post, URL_Imagem, Fonte, ID_Categoria, ID_Autor, DataPublicacao, DataColeta) SELECT "&amp;"'"&amp;SUBSTITUTE($A26,"'","''")&amp;"'"&amp;", "&amp;IF($B26="","NULL","'"&amp;SUBSTITUTE($B26,"'","''")&amp;"'")&amp;", "&amp;"'"&amp;SUBSTITUTE($C26,"'","''")&amp;"'"&amp;", "&amp;IF($D26="","NULL","'"&amp;SUBSTITUTE($D26,"'","''")&amp;"'")&amp;", "&amp;IF($E26="","NULL","'"&amp;SUBSTITUTE($E26,"'","''")&amp;"'")&amp;", "&amp;"(SELECT ID_Categoria FROM Categorias WHERE NomeCategoria = '"&amp;SUBSTITUTE($F26,"'","''")&amp;"')"&amp;", "&amp;IF($G26="","NULL","(SELECT ID_Usuario FROM Usuario WHERE NomeUsuario = '"&amp;SUBSTITUTE($G26,"'","''")&amp;"')")&amp;", "&amp;"'"&amp;SUBSTITUTE($H26,"'","''")&amp;"'"&amp;", "&amp;IF($I26="","SYSDATETIME()","'"&amp;SUBSTITUTE($I26,"'","''")&amp;"'")&amp;" WHERE NOT EXISTS (SELECT 1 FROM Posts WHERE URL_Post = "&amp;"'"&amp;SUBSTITUTE($C26,"'","''")&amp;"'"&amp;");")</f>
        <v/>
      </c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8"/>
      <c r="I27" s="28"/>
      <c r="K27" s="25" t="str">
        <f aca="false">IF($A27="","","INSERT INTO Posts (Titulo_Post, Resumo, URL_Post, URL_Imagem, Fonte, ID_Categoria, ID_Autor, DataPublicacao, DataColeta) SELECT "&amp;"'"&amp;SUBSTITUTE($A27,"'","''")&amp;"'"&amp;", "&amp;IF($B27="","NULL","'"&amp;SUBSTITUTE($B27,"'","''")&amp;"'")&amp;", "&amp;"'"&amp;SUBSTITUTE($C27,"'","''")&amp;"'"&amp;", "&amp;IF($D27="","NULL","'"&amp;SUBSTITUTE($D27,"'","''")&amp;"'")&amp;", "&amp;IF($E27="","NULL","'"&amp;SUBSTITUTE($E27,"'","''")&amp;"'")&amp;", "&amp;"(SELECT ID_Categoria FROM Categorias WHERE NomeCategoria = '"&amp;SUBSTITUTE($F27,"'","''")&amp;"')"&amp;", "&amp;IF($G27="","NULL","(SELECT ID_Usuario FROM Usuario WHERE NomeUsuario = '"&amp;SUBSTITUTE($G27,"'","''")&amp;"')")&amp;", "&amp;"'"&amp;SUBSTITUTE($H27,"'","''")&amp;"'"&amp;", "&amp;IF($I27="","SYSDATETIME()","'"&amp;SUBSTITUTE($I27,"'","''")&amp;"'")&amp;" WHERE NOT EXISTS (SELECT 1 FROM Posts WHERE URL_Post = "&amp;"'"&amp;SUBSTITUTE($C27,"'","''")&amp;"'"&amp;");")</f>
        <v/>
      </c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8"/>
      <c r="I28" s="28"/>
      <c r="K28" s="25" t="str">
        <f aca="false">IF($A28="","","INSERT INTO Posts (Titulo_Post, Resumo, URL_Post, URL_Imagem, Fonte, ID_Categoria, ID_Autor, DataPublicacao, DataColeta) SELECT "&amp;"'"&amp;SUBSTITUTE($A28,"'","''")&amp;"'"&amp;", "&amp;IF($B28="","NULL","'"&amp;SUBSTITUTE($B28,"'","''")&amp;"'")&amp;", "&amp;"'"&amp;SUBSTITUTE($C28,"'","''")&amp;"'"&amp;", "&amp;IF($D28="","NULL","'"&amp;SUBSTITUTE($D28,"'","''")&amp;"'")&amp;", "&amp;IF($E28="","NULL","'"&amp;SUBSTITUTE($E28,"'","''")&amp;"'")&amp;", "&amp;"(SELECT ID_Categoria FROM Categorias WHERE NomeCategoria = '"&amp;SUBSTITUTE($F28,"'","''")&amp;"')"&amp;", "&amp;IF($G28="","NULL","(SELECT ID_Usuario FROM Usuario WHERE NomeUsuario = '"&amp;SUBSTITUTE($G28,"'","''")&amp;"')")&amp;", "&amp;"'"&amp;SUBSTITUTE($H28,"'","''")&amp;"'"&amp;", "&amp;IF($I28="","SYSDATETIME()","'"&amp;SUBSTITUTE($I28,"'","''")&amp;"'")&amp;" WHERE NOT EXISTS (SELECT 1 FROM Posts WHERE URL_Post = "&amp;"'"&amp;SUBSTITUTE($C28,"'","''")&amp;"'"&amp;");")</f>
        <v/>
      </c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8"/>
      <c r="I29" s="28"/>
      <c r="K29" s="25" t="str">
        <f aca="false">IF($A29="","","INSERT INTO Posts (Titulo_Post, Resumo, URL_Post, URL_Imagem, Fonte, ID_Categoria, ID_Autor, DataPublicacao, DataColeta) SELECT "&amp;"'"&amp;SUBSTITUTE($A29,"'","''")&amp;"'"&amp;", "&amp;IF($B29="","NULL","'"&amp;SUBSTITUTE($B29,"'","''")&amp;"'")&amp;", "&amp;"'"&amp;SUBSTITUTE($C29,"'","''")&amp;"'"&amp;", "&amp;IF($D29="","NULL","'"&amp;SUBSTITUTE($D29,"'","''")&amp;"'")&amp;", "&amp;IF($E29="","NULL","'"&amp;SUBSTITUTE($E29,"'","''")&amp;"'")&amp;", "&amp;"(SELECT ID_Categoria FROM Categorias WHERE NomeCategoria = '"&amp;SUBSTITUTE($F29,"'","''")&amp;"')"&amp;", "&amp;IF($G29="","NULL","(SELECT ID_Usuario FROM Usuario WHERE NomeUsuario = '"&amp;SUBSTITUTE($G29,"'","''")&amp;"')")&amp;", "&amp;"'"&amp;SUBSTITUTE($H29,"'","''")&amp;"'"&amp;", "&amp;IF($I29="","SYSDATETIME()","'"&amp;SUBSTITUTE($I29,"'","''")&amp;"'")&amp;" WHERE NOT EXISTS (SELECT 1 FROM Posts WHERE URL_Post = "&amp;"'"&amp;SUBSTITUTE($C29,"'","''")&amp;"'"&amp;");")</f>
        <v/>
      </c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8"/>
      <c r="I30" s="28"/>
      <c r="K30" s="25" t="str">
        <f aca="false">IF($A30="","","INSERT INTO Posts (Titulo_Post, Resumo, URL_Post, URL_Imagem, Fonte, ID_Categoria, ID_Autor, DataPublicacao, DataColeta) SELECT "&amp;"'"&amp;SUBSTITUTE($A30,"'","''")&amp;"'"&amp;", "&amp;IF($B30="","NULL","'"&amp;SUBSTITUTE($B30,"'","''")&amp;"'")&amp;", "&amp;"'"&amp;SUBSTITUTE($C30,"'","''")&amp;"'"&amp;", "&amp;IF($D30="","NULL","'"&amp;SUBSTITUTE($D30,"'","''")&amp;"'")&amp;", "&amp;IF($E30="","NULL","'"&amp;SUBSTITUTE($E30,"'","''")&amp;"'")&amp;", "&amp;"(SELECT ID_Categoria FROM Categorias WHERE NomeCategoria = '"&amp;SUBSTITUTE($F30,"'","''")&amp;"')"&amp;", "&amp;IF($G30="","NULL","(SELECT ID_Usuario FROM Usuario WHERE NomeUsuario = '"&amp;SUBSTITUTE($G30,"'","''")&amp;"')")&amp;", "&amp;"'"&amp;SUBSTITUTE($H30,"'","''")&amp;"'"&amp;", "&amp;IF($I30="","SYSDATETIME()","'"&amp;SUBSTITUTE($I30,"'","''")&amp;"'")&amp;" WHERE NOT EXISTS (SELECT 1 FROM Posts WHERE URL_Post = "&amp;"'"&amp;SUBSTITUTE($C30,"'","''")&amp;"'"&amp;");")</f>
        <v/>
      </c>
    </row>
    <row r="31" customFormat="false" ht="15" hidden="false" customHeight="false" outlineLevel="0" collapsed="false">
      <c r="A31" s="26"/>
      <c r="B31" s="26"/>
      <c r="C31" s="26"/>
      <c r="D31" s="26"/>
      <c r="E31" s="26"/>
      <c r="F31" s="26"/>
      <c r="G31" s="26"/>
      <c r="H31" s="28"/>
      <c r="I31" s="28"/>
      <c r="K31" s="25" t="str">
        <f aca="false">IF($A31="","","INSERT INTO Posts (Titulo_Post, Resumo, URL_Post, URL_Imagem, Fonte, ID_Categoria, ID_Autor, DataPublicacao, DataColeta) SELECT "&amp;"'"&amp;SUBSTITUTE($A31,"'","''")&amp;"'"&amp;", "&amp;IF($B31="","NULL","'"&amp;SUBSTITUTE($B31,"'","''")&amp;"'")&amp;", "&amp;"'"&amp;SUBSTITUTE($C31,"'","''")&amp;"'"&amp;", "&amp;IF($D31="","NULL","'"&amp;SUBSTITUTE($D31,"'","''")&amp;"'")&amp;", "&amp;IF($E31="","NULL","'"&amp;SUBSTITUTE($E31,"'","''")&amp;"'")&amp;", "&amp;"(SELECT ID_Categoria FROM Categorias WHERE NomeCategoria = '"&amp;SUBSTITUTE($F31,"'","''")&amp;"')"&amp;", "&amp;IF($G31="","NULL","(SELECT ID_Usuario FROM Usuario WHERE NomeUsuario = '"&amp;SUBSTITUTE($G31,"'","''")&amp;"')")&amp;", "&amp;"'"&amp;SUBSTITUTE($H31,"'","''")&amp;"'"&amp;", "&amp;IF($I31="","SYSDATETIME()","'"&amp;SUBSTITUTE($I31,"'","''")&amp;"'")&amp;" WHERE NOT EXISTS (SELECT 1 FROM Posts WHERE URL_Post = "&amp;"'"&amp;SUBSTITUTE($C31,"'","''")&amp;"'"&amp;");")</f>
        <v/>
      </c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  <c r="G32" s="26"/>
      <c r="H32" s="28"/>
      <c r="I32" s="28"/>
      <c r="K32" s="25" t="str">
        <f aca="false">IF($A32="","","INSERT INTO Posts (Titulo_Post, Resumo, URL_Post, URL_Imagem, Fonte, ID_Categoria, ID_Autor, DataPublicacao, DataColeta) SELECT "&amp;"'"&amp;SUBSTITUTE($A32,"'","''")&amp;"'"&amp;", "&amp;IF($B32="","NULL","'"&amp;SUBSTITUTE($B32,"'","''")&amp;"'")&amp;", "&amp;"'"&amp;SUBSTITUTE($C32,"'","''")&amp;"'"&amp;", "&amp;IF($D32="","NULL","'"&amp;SUBSTITUTE($D32,"'","''")&amp;"'")&amp;", "&amp;IF($E32="","NULL","'"&amp;SUBSTITUTE($E32,"'","''")&amp;"'")&amp;", "&amp;"(SELECT ID_Categoria FROM Categorias WHERE NomeCategoria = '"&amp;SUBSTITUTE($F32,"'","''")&amp;"')"&amp;", "&amp;IF($G32="","NULL","(SELECT ID_Usuario FROM Usuario WHERE NomeUsuario = '"&amp;SUBSTITUTE($G32,"'","''")&amp;"')")&amp;", "&amp;"'"&amp;SUBSTITUTE($H32,"'","''")&amp;"'"&amp;", "&amp;IF($I32="","SYSDATETIME()","'"&amp;SUBSTITUTE($I32,"'","''")&amp;"'")&amp;" WHERE NOT EXISTS (SELECT 1 FROM Posts WHERE URL_Post = "&amp;"'"&amp;SUBSTITUTE($C32,"'","''")&amp;"'"&amp;");")</f>
        <v/>
      </c>
    </row>
    <row r="33" customFormat="false" ht="15" hidden="false" customHeight="false" outlineLevel="0" collapsed="false">
      <c r="A33" s="26"/>
      <c r="B33" s="26"/>
      <c r="C33" s="26"/>
      <c r="D33" s="26"/>
      <c r="E33" s="26"/>
      <c r="F33" s="26"/>
      <c r="G33" s="26"/>
      <c r="H33" s="28"/>
      <c r="I33" s="28"/>
      <c r="K33" s="25" t="str">
        <f aca="false">IF($A33="","","INSERT INTO Posts (Titulo_Post, Resumo, URL_Post, URL_Imagem, Fonte, ID_Categoria, ID_Autor, DataPublicacao, DataColeta) SELECT "&amp;"'"&amp;SUBSTITUTE($A33,"'","''")&amp;"'"&amp;", "&amp;IF($B33="","NULL","'"&amp;SUBSTITUTE($B33,"'","''")&amp;"'")&amp;", "&amp;"'"&amp;SUBSTITUTE($C33,"'","''")&amp;"'"&amp;", "&amp;IF($D33="","NULL","'"&amp;SUBSTITUTE($D33,"'","''")&amp;"'")&amp;", "&amp;IF($E33="","NULL","'"&amp;SUBSTITUTE($E33,"'","''")&amp;"'")&amp;", "&amp;"(SELECT ID_Categoria FROM Categorias WHERE NomeCategoria = '"&amp;SUBSTITUTE($F33,"'","''")&amp;"')"&amp;", "&amp;IF($G33="","NULL","(SELECT ID_Usuario FROM Usuario WHERE NomeUsuario = '"&amp;SUBSTITUTE($G33,"'","''")&amp;"')")&amp;", "&amp;"'"&amp;SUBSTITUTE($H33,"'","''")&amp;"'"&amp;", "&amp;IF($I33="","SYSDATETIME()","'"&amp;SUBSTITUTE($I33,"'","''")&amp;"'")&amp;" WHERE NOT EXISTS (SELECT 1 FROM Posts WHERE URL_Post = "&amp;"'"&amp;SUBSTITUTE($C33,"'","''")&amp;"'"&amp;");")</f>
        <v/>
      </c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26"/>
      <c r="H34" s="28"/>
      <c r="I34" s="28"/>
      <c r="K34" s="25" t="str">
        <f aca="false">IF($A34="","","INSERT INTO Posts (Titulo_Post, Resumo, URL_Post, URL_Imagem, Fonte, ID_Categoria, ID_Autor, DataPublicacao, DataColeta) SELECT "&amp;"'"&amp;SUBSTITUTE($A34,"'","''")&amp;"'"&amp;", "&amp;IF($B34="","NULL","'"&amp;SUBSTITUTE($B34,"'","''")&amp;"'")&amp;", "&amp;"'"&amp;SUBSTITUTE($C34,"'","''")&amp;"'"&amp;", "&amp;IF($D34="","NULL","'"&amp;SUBSTITUTE($D34,"'","''")&amp;"'")&amp;", "&amp;IF($E34="","NULL","'"&amp;SUBSTITUTE($E34,"'","''")&amp;"'")&amp;", "&amp;"(SELECT ID_Categoria FROM Categorias WHERE NomeCategoria = '"&amp;SUBSTITUTE($F34,"'","''")&amp;"')"&amp;", "&amp;IF($G34="","NULL","(SELECT ID_Usuario FROM Usuario WHERE NomeUsuario = '"&amp;SUBSTITUTE($G34,"'","''")&amp;"')")&amp;", "&amp;"'"&amp;SUBSTITUTE($H34,"'","''")&amp;"'"&amp;", "&amp;IF($I34="","SYSDATETIME()","'"&amp;SUBSTITUTE($I34,"'","''")&amp;"'")&amp;" WHERE NOT EXISTS (SELECT 1 FROM Posts WHERE URL_Post = "&amp;"'"&amp;SUBSTITUTE($C34,"'","''")&amp;"'"&amp;");")</f>
        <v/>
      </c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26"/>
      <c r="H35" s="28"/>
      <c r="I35" s="28"/>
      <c r="K35" s="25" t="str">
        <f aca="false">IF($A35="","","INSERT INTO Posts (Titulo_Post, Resumo, URL_Post, URL_Imagem, Fonte, ID_Categoria, ID_Autor, DataPublicacao, DataColeta) SELECT "&amp;"'"&amp;SUBSTITUTE($A35,"'","''")&amp;"'"&amp;", "&amp;IF($B35="","NULL","'"&amp;SUBSTITUTE($B35,"'","''")&amp;"'")&amp;", "&amp;"'"&amp;SUBSTITUTE($C35,"'","''")&amp;"'"&amp;", "&amp;IF($D35="","NULL","'"&amp;SUBSTITUTE($D35,"'","''")&amp;"'")&amp;", "&amp;IF($E35="","NULL","'"&amp;SUBSTITUTE($E35,"'","''")&amp;"'")&amp;", "&amp;"(SELECT ID_Categoria FROM Categorias WHERE NomeCategoria = '"&amp;SUBSTITUTE($F35,"'","''")&amp;"')"&amp;", "&amp;IF($G35="","NULL","(SELECT ID_Usuario FROM Usuario WHERE NomeUsuario = '"&amp;SUBSTITUTE($G35,"'","''")&amp;"')")&amp;", "&amp;"'"&amp;SUBSTITUTE($H35,"'","''")&amp;"'"&amp;", "&amp;IF($I35="","SYSDATETIME()","'"&amp;SUBSTITUTE($I35,"'","''")&amp;"'")&amp;" WHERE NOT EXISTS (SELECT 1 FROM Posts WHERE URL_Post = "&amp;"'"&amp;SUBSTITUTE($C35,"'","''")&amp;"'"&amp;");")</f>
        <v/>
      </c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8"/>
      <c r="I36" s="28"/>
      <c r="K36" s="25" t="str">
        <f aca="false">IF($A36="","","INSERT INTO Posts (Titulo_Post, Resumo, URL_Post, URL_Imagem, Fonte, ID_Categoria, ID_Autor, DataPublicacao, DataColeta) SELECT "&amp;"'"&amp;SUBSTITUTE($A36,"'","''")&amp;"'"&amp;", "&amp;IF($B36="","NULL","'"&amp;SUBSTITUTE($B36,"'","''")&amp;"'")&amp;", "&amp;"'"&amp;SUBSTITUTE($C36,"'","''")&amp;"'"&amp;", "&amp;IF($D36="","NULL","'"&amp;SUBSTITUTE($D36,"'","''")&amp;"'")&amp;", "&amp;IF($E36="","NULL","'"&amp;SUBSTITUTE($E36,"'","''")&amp;"'")&amp;", "&amp;"(SELECT ID_Categoria FROM Categorias WHERE NomeCategoria = '"&amp;SUBSTITUTE($F36,"'","''")&amp;"')"&amp;", "&amp;IF($G36="","NULL","(SELECT ID_Usuario FROM Usuario WHERE NomeUsuario = '"&amp;SUBSTITUTE($G36,"'","''")&amp;"')")&amp;", "&amp;"'"&amp;SUBSTITUTE($H36,"'","''")&amp;"'"&amp;", "&amp;IF($I36="","SYSDATETIME()","'"&amp;SUBSTITUTE($I36,"'","''")&amp;"'")&amp;" WHERE NOT EXISTS (SELECT 1 FROM Posts WHERE URL_Post = "&amp;"'"&amp;SUBSTITUTE($C36,"'","''")&amp;"'"&amp;");")</f>
        <v/>
      </c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  <c r="G37" s="26"/>
      <c r="H37" s="28"/>
      <c r="I37" s="28"/>
      <c r="K37" s="25" t="str">
        <f aca="false">IF($A37="","","INSERT INTO Posts (Titulo_Post, Resumo, URL_Post, URL_Imagem, Fonte, ID_Categoria, ID_Autor, DataPublicacao, DataColeta) SELECT "&amp;"'"&amp;SUBSTITUTE($A37,"'","''")&amp;"'"&amp;", "&amp;IF($B37="","NULL","'"&amp;SUBSTITUTE($B37,"'","''")&amp;"'")&amp;", "&amp;"'"&amp;SUBSTITUTE($C37,"'","''")&amp;"'"&amp;", "&amp;IF($D37="","NULL","'"&amp;SUBSTITUTE($D37,"'","''")&amp;"'")&amp;", "&amp;IF($E37="","NULL","'"&amp;SUBSTITUTE($E37,"'","''")&amp;"'")&amp;", "&amp;"(SELECT ID_Categoria FROM Categorias WHERE NomeCategoria = '"&amp;SUBSTITUTE($F37,"'","''")&amp;"')"&amp;", "&amp;IF($G37="","NULL","(SELECT ID_Usuario FROM Usuario WHERE NomeUsuario = '"&amp;SUBSTITUTE($G37,"'","''")&amp;"')")&amp;", "&amp;"'"&amp;SUBSTITUTE($H37,"'","''")&amp;"'"&amp;", "&amp;IF($I37="","SYSDATETIME()","'"&amp;SUBSTITUTE($I37,"'","''")&amp;"'")&amp;" WHERE NOT EXISTS (SELECT 1 FROM Posts WHERE URL_Post = "&amp;"'"&amp;SUBSTITUTE($C37,"'","''")&amp;"'"&amp;");")</f>
        <v/>
      </c>
    </row>
    <row r="38" customFormat="false" ht="15" hidden="false" customHeight="false" outlineLevel="0" collapsed="false">
      <c r="A38" s="26"/>
      <c r="B38" s="26"/>
      <c r="C38" s="26"/>
      <c r="D38" s="26"/>
      <c r="E38" s="26"/>
      <c r="F38" s="26"/>
      <c r="G38" s="26"/>
      <c r="H38" s="28"/>
      <c r="I38" s="28"/>
      <c r="K38" s="25" t="str">
        <f aca="false">IF($A38="","","INSERT INTO Posts (Titulo_Post, Resumo, URL_Post, URL_Imagem, Fonte, ID_Categoria, ID_Autor, DataPublicacao, DataColeta) SELECT "&amp;"'"&amp;SUBSTITUTE($A38,"'","''")&amp;"'"&amp;", "&amp;IF($B38="","NULL","'"&amp;SUBSTITUTE($B38,"'","''")&amp;"'")&amp;", "&amp;"'"&amp;SUBSTITUTE($C38,"'","''")&amp;"'"&amp;", "&amp;IF($D38="","NULL","'"&amp;SUBSTITUTE($D38,"'","''")&amp;"'")&amp;", "&amp;IF($E38="","NULL","'"&amp;SUBSTITUTE($E38,"'","''")&amp;"'")&amp;", "&amp;"(SELECT ID_Categoria FROM Categorias WHERE NomeCategoria = '"&amp;SUBSTITUTE($F38,"'","''")&amp;"')"&amp;", "&amp;IF($G38="","NULL","(SELECT ID_Usuario FROM Usuario WHERE NomeUsuario = '"&amp;SUBSTITUTE($G38,"'","''")&amp;"')")&amp;", "&amp;"'"&amp;SUBSTITUTE($H38,"'","''")&amp;"'"&amp;", "&amp;IF($I38="","SYSDATETIME()","'"&amp;SUBSTITUTE($I38,"'","''")&amp;"'")&amp;" WHERE NOT EXISTS (SELECT 1 FROM Posts WHERE URL_Post = "&amp;"'"&amp;SUBSTITUTE($C38,"'","''")&amp;"'"&amp;");")</f>
        <v/>
      </c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  <c r="G39" s="26"/>
      <c r="H39" s="28"/>
      <c r="I39" s="28"/>
      <c r="K39" s="25" t="str">
        <f aca="false">IF($A39="","","INSERT INTO Posts (Titulo_Post, Resumo, URL_Post, URL_Imagem, Fonte, ID_Categoria, ID_Autor, DataPublicacao, DataColeta) SELECT "&amp;"'"&amp;SUBSTITUTE($A39,"'","''")&amp;"'"&amp;", "&amp;IF($B39="","NULL","'"&amp;SUBSTITUTE($B39,"'","''")&amp;"'")&amp;", "&amp;"'"&amp;SUBSTITUTE($C39,"'","''")&amp;"'"&amp;", "&amp;IF($D39="","NULL","'"&amp;SUBSTITUTE($D39,"'","''")&amp;"'")&amp;", "&amp;IF($E39="","NULL","'"&amp;SUBSTITUTE($E39,"'","''")&amp;"'")&amp;", "&amp;"(SELECT ID_Categoria FROM Categorias WHERE NomeCategoria = '"&amp;SUBSTITUTE($F39,"'","''")&amp;"')"&amp;", "&amp;IF($G39="","NULL","(SELECT ID_Usuario FROM Usuario WHERE NomeUsuario = '"&amp;SUBSTITUTE($G39,"'","''")&amp;"')")&amp;", "&amp;"'"&amp;SUBSTITUTE($H39,"'","''")&amp;"'"&amp;", "&amp;IF($I39="","SYSDATETIME()","'"&amp;SUBSTITUTE($I39,"'","''")&amp;"'")&amp;" WHERE NOT EXISTS (SELECT 1 FROM Posts WHERE URL_Post = "&amp;"'"&amp;SUBSTITUTE($C39,"'","''")&amp;"'"&amp;");")</f>
        <v/>
      </c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  <c r="G40" s="26"/>
      <c r="H40" s="28"/>
      <c r="I40" s="28"/>
      <c r="K40" s="25" t="str">
        <f aca="false">IF($A40="","","INSERT INTO Posts (Titulo_Post, Resumo, URL_Post, URL_Imagem, Fonte, ID_Categoria, ID_Autor, DataPublicacao, DataColeta) SELECT "&amp;"'"&amp;SUBSTITUTE($A40,"'","''")&amp;"'"&amp;", "&amp;IF($B40="","NULL","'"&amp;SUBSTITUTE($B40,"'","''")&amp;"'")&amp;", "&amp;"'"&amp;SUBSTITUTE($C40,"'","''")&amp;"'"&amp;", "&amp;IF($D40="","NULL","'"&amp;SUBSTITUTE($D40,"'","''")&amp;"'")&amp;", "&amp;IF($E40="","NULL","'"&amp;SUBSTITUTE($E40,"'","''")&amp;"'")&amp;", "&amp;"(SELECT ID_Categoria FROM Categorias WHERE NomeCategoria = '"&amp;SUBSTITUTE($F40,"'","''")&amp;"')"&amp;", "&amp;IF($G40="","NULL","(SELECT ID_Usuario FROM Usuario WHERE NomeUsuario = '"&amp;SUBSTITUTE($G40,"'","''")&amp;"')")&amp;", "&amp;"'"&amp;SUBSTITUTE($H40,"'","''")&amp;"'"&amp;", "&amp;IF($I40="","SYSDATETIME()","'"&amp;SUBSTITUTE($I40,"'","''")&amp;"'")&amp;" WHERE NOT EXISTS (SELECT 1 FROM Posts WHERE URL_Post = "&amp;"'"&amp;SUBSTITUTE($C40,"'","''")&amp;"'"&amp;");")</f>
        <v/>
      </c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26"/>
      <c r="H41" s="28"/>
      <c r="I41" s="28"/>
      <c r="K41" s="25" t="str">
        <f aca="false">IF($A41="","","INSERT INTO Posts (Titulo_Post, Resumo, URL_Post, URL_Imagem, Fonte, ID_Categoria, ID_Autor, DataPublicacao, DataColeta) SELECT "&amp;"'"&amp;SUBSTITUTE($A41,"'","''")&amp;"'"&amp;", "&amp;IF($B41="","NULL","'"&amp;SUBSTITUTE($B41,"'","''")&amp;"'")&amp;", "&amp;"'"&amp;SUBSTITUTE($C41,"'","''")&amp;"'"&amp;", "&amp;IF($D41="","NULL","'"&amp;SUBSTITUTE($D41,"'","''")&amp;"'")&amp;", "&amp;IF($E41="","NULL","'"&amp;SUBSTITUTE($E41,"'","''")&amp;"'")&amp;", "&amp;"(SELECT ID_Categoria FROM Categorias WHERE NomeCategoria = '"&amp;SUBSTITUTE($F41,"'","''")&amp;"')"&amp;", "&amp;IF($G41="","NULL","(SELECT ID_Usuario FROM Usuario WHERE NomeUsuario = '"&amp;SUBSTITUTE($G41,"'","''")&amp;"')")&amp;", "&amp;"'"&amp;SUBSTITUTE($H41,"'","''")&amp;"'"&amp;", "&amp;IF($I41="","SYSDATETIME()","'"&amp;SUBSTITUTE($I41,"'","''")&amp;"'")&amp;" WHERE NOT EXISTS (SELECT 1 FROM Posts WHERE URL_Post = "&amp;"'"&amp;SUBSTITUTE($C41,"'","''")&amp;"'"&amp;");")</f>
        <v/>
      </c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  <c r="G42" s="26"/>
      <c r="H42" s="28"/>
      <c r="I42" s="28"/>
      <c r="K42" s="25" t="str">
        <f aca="false">IF($A42="","","INSERT INTO Posts (Titulo_Post, Resumo, URL_Post, URL_Imagem, Fonte, ID_Categoria, ID_Autor, DataPublicacao, DataColeta) SELECT "&amp;"'"&amp;SUBSTITUTE($A42,"'","''")&amp;"'"&amp;", "&amp;IF($B42="","NULL","'"&amp;SUBSTITUTE($B42,"'","''")&amp;"'")&amp;", "&amp;"'"&amp;SUBSTITUTE($C42,"'","''")&amp;"'"&amp;", "&amp;IF($D42="","NULL","'"&amp;SUBSTITUTE($D42,"'","''")&amp;"'")&amp;", "&amp;IF($E42="","NULL","'"&amp;SUBSTITUTE($E42,"'","''")&amp;"'")&amp;", "&amp;"(SELECT ID_Categoria FROM Categorias WHERE NomeCategoria = '"&amp;SUBSTITUTE($F42,"'","''")&amp;"')"&amp;", "&amp;IF($G42="","NULL","(SELECT ID_Usuario FROM Usuario WHERE NomeUsuario = '"&amp;SUBSTITUTE($G42,"'","''")&amp;"')")&amp;", "&amp;"'"&amp;SUBSTITUTE($H42,"'","''")&amp;"'"&amp;", "&amp;IF($I42="","SYSDATETIME()","'"&amp;SUBSTITUTE($I42,"'","''")&amp;"'")&amp;" WHERE NOT EXISTS (SELECT 1 FROM Posts WHERE URL_Post = "&amp;"'"&amp;SUBSTITUTE($C42,"'","''")&amp;"'"&amp;");")</f>
        <v/>
      </c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6"/>
      <c r="G43" s="26"/>
      <c r="H43" s="28"/>
      <c r="I43" s="28"/>
      <c r="K43" s="25" t="str">
        <f aca="false">IF($A43="","","INSERT INTO Posts (Titulo_Post, Resumo, URL_Post, URL_Imagem, Fonte, ID_Categoria, ID_Autor, DataPublicacao, DataColeta) SELECT "&amp;"'"&amp;SUBSTITUTE($A43,"'","''")&amp;"'"&amp;", "&amp;IF($B43="","NULL","'"&amp;SUBSTITUTE($B43,"'","''")&amp;"'")&amp;", "&amp;"'"&amp;SUBSTITUTE($C43,"'","''")&amp;"'"&amp;", "&amp;IF($D43="","NULL","'"&amp;SUBSTITUTE($D43,"'","''")&amp;"'")&amp;", "&amp;IF($E43="","NULL","'"&amp;SUBSTITUTE($E43,"'","''")&amp;"'")&amp;", "&amp;"(SELECT ID_Categoria FROM Categorias WHERE NomeCategoria = '"&amp;SUBSTITUTE($F43,"'","''")&amp;"')"&amp;", "&amp;IF($G43="","NULL","(SELECT ID_Usuario FROM Usuario WHERE NomeUsuario = '"&amp;SUBSTITUTE($G43,"'","''")&amp;"')")&amp;", "&amp;"'"&amp;SUBSTITUTE($H43,"'","''")&amp;"'"&amp;", "&amp;IF($I43="","SYSDATETIME()","'"&amp;SUBSTITUTE($I43,"'","''")&amp;"'")&amp;" WHERE NOT EXISTS (SELECT 1 FROM Posts WHERE URL_Post = "&amp;"'"&amp;SUBSTITUTE($C43,"'","''")&amp;"'"&amp;");")</f>
        <v/>
      </c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  <c r="G44" s="26"/>
      <c r="H44" s="28"/>
      <c r="I44" s="28"/>
      <c r="K44" s="25" t="str">
        <f aca="false">IF($A44="","","INSERT INTO Posts (Titulo_Post, Resumo, URL_Post, URL_Imagem, Fonte, ID_Categoria, ID_Autor, DataPublicacao, DataColeta) SELECT "&amp;"'"&amp;SUBSTITUTE($A44,"'","''")&amp;"'"&amp;", "&amp;IF($B44="","NULL","'"&amp;SUBSTITUTE($B44,"'","''")&amp;"'")&amp;", "&amp;"'"&amp;SUBSTITUTE($C44,"'","''")&amp;"'"&amp;", "&amp;IF($D44="","NULL","'"&amp;SUBSTITUTE($D44,"'","''")&amp;"'")&amp;", "&amp;IF($E44="","NULL","'"&amp;SUBSTITUTE($E44,"'","''")&amp;"'")&amp;", "&amp;"(SELECT ID_Categoria FROM Categorias WHERE NomeCategoria = '"&amp;SUBSTITUTE($F44,"'","''")&amp;"')"&amp;", "&amp;IF($G44="","NULL","(SELECT ID_Usuario FROM Usuario WHERE NomeUsuario = '"&amp;SUBSTITUTE($G44,"'","''")&amp;"')")&amp;", "&amp;"'"&amp;SUBSTITUTE($H44,"'","''")&amp;"'"&amp;", "&amp;IF($I44="","SYSDATETIME()","'"&amp;SUBSTITUTE($I44,"'","''")&amp;"'")&amp;" WHERE NOT EXISTS (SELECT 1 FROM Posts WHERE URL_Post = "&amp;"'"&amp;SUBSTITUTE($C44,"'","''")&amp;"'"&amp;");")</f>
        <v/>
      </c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6"/>
      <c r="G45" s="26"/>
      <c r="H45" s="28"/>
      <c r="I45" s="28"/>
      <c r="K45" s="25" t="str">
        <f aca="false">IF($A45="","","INSERT INTO Posts (Titulo_Post, Resumo, URL_Post, URL_Imagem, Fonte, ID_Categoria, ID_Autor, DataPublicacao, DataColeta) SELECT "&amp;"'"&amp;SUBSTITUTE($A45,"'","''")&amp;"'"&amp;", "&amp;IF($B45="","NULL","'"&amp;SUBSTITUTE($B45,"'","''")&amp;"'")&amp;", "&amp;"'"&amp;SUBSTITUTE($C45,"'","''")&amp;"'"&amp;", "&amp;IF($D45="","NULL","'"&amp;SUBSTITUTE($D45,"'","''")&amp;"'")&amp;", "&amp;IF($E45="","NULL","'"&amp;SUBSTITUTE($E45,"'","''")&amp;"'")&amp;", "&amp;"(SELECT ID_Categoria FROM Categorias WHERE NomeCategoria = '"&amp;SUBSTITUTE($F45,"'","''")&amp;"')"&amp;", "&amp;IF($G45="","NULL","(SELECT ID_Usuario FROM Usuario WHERE NomeUsuario = '"&amp;SUBSTITUTE($G45,"'","''")&amp;"')")&amp;", "&amp;"'"&amp;SUBSTITUTE($H45,"'","''")&amp;"'"&amp;", "&amp;IF($I45="","SYSDATETIME()","'"&amp;SUBSTITUTE($I45,"'","''")&amp;"'")&amp;" WHERE NOT EXISTS (SELECT 1 FROM Posts WHERE URL_Post = "&amp;"'"&amp;SUBSTITUTE($C45,"'","''")&amp;"'"&amp;");")</f>
        <v/>
      </c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6"/>
      <c r="G46" s="26"/>
      <c r="H46" s="28"/>
      <c r="I46" s="28"/>
      <c r="K46" s="25" t="str">
        <f aca="false">IF($A46="","","INSERT INTO Posts (Titulo_Post, Resumo, URL_Post, URL_Imagem, Fonte, ID_Categoria, ID_Autor, DataPublicacao, DataColeta) SELECT "&amp;"'"&amp;SUBSTITUTE($A46,"'","''")&amp;"'"&amp;", "&amp;IF($B46="","NULL","'"&amp;SUBSTITUTE($B46,"'","''")&amp;"'")&amp;", "&amp;"'"&amp;SUBSTITUTE($C46,"'","''")&amp;"'"&amp;", "&amp;IF($D46="","NULL","'"&amp;SUBSTITUTE($D46,"'","''")&amp;"'")&amp;", "&amp;IF($E46="","NULL","'"&amp;SUBSTITUTE($E46,"'","''")&amp;"'")&amp;", "&amp;"(SELECT ID_Categoria FROM Categorias WHERE NomeCategoria = '"&amp;SUBSTITUTE($F46,"'","''")&amp;"')"&amp;", "&amp;IF($G46="","NULL","(SELECT ID_Usuario FROM Usuario WHERE NomeUsuario = '"&amp;SUBSTITUTE($G46,"'","''")&amp;"')")&amp;", "&amp;"'"&amp;SUBSTITUTE($H46,"'","''")&amp;"'"&amp;", "&amp;IF($I46="","SYSDATETIME()","'"&amp;SUBSTITUTE($I46,"'","''")&amp;"'")&amp;" WHERE NOT EXISTS (SELECT 1 FROM Posts WHERE URL_Post = "&amp;"'"&amp;SUBSTITUTE($C46,"'","''")&amp;"'"&amp;");")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6"/>
      <c r="G47" s="26"/>
      <c r="H47" s="28"/>
      <c r="I47" s="28"/>
      <c r="K47" s="25" t="str">
        <f aca="false">IF($A47="","","INSERT INTO Posts (Titulo_Post, Resumo, URL_Post, URL_Imagem, Fonte, ID_Categoria, ID_Autor, DataPublicacao, DataColeta) SELECT "&amp;"'"&amp;SUBSTITUTE($A47,"'","''")&amp;"'"&amp;", "&amp;IF($B47="","NULL","'"&amp;SUBSTITUTE($B47,"'","''")&amp;"'")&amp;", "&amp;"'"&amp;SUBSTITUTE($C47,"'","''")&amp;"'"&amp;", "&amp;IF($D47="","NULL","'"&amp;SUBSTITUTE($D47,"'","''")&amp;"'")&amp;", "&amp;IF($E47="","NULL","'"&amp;SUBSTITUTE($E47,"'","''")&amp;"'")&amp;", "&amp;"(SELECT ID_Categoria FROM Categorias WHERE NomeCategoria = '"&amp;SUBSTITUTE($F47,"'","''")&amp;"')"&amp;", "&amp;IF($G47="","NULL","(SELECT ID_Usuario FROM Usuario WHERE NomeUsuario = '"&amp;SUBSTITUTE($G47,"'","''")&amp;"')")&amp;", "&amp;"'"&amp;SUBSTITUTE($H47,"'","''")&amp;"'"&amp;", "&amp;IF($I47="","SYSDATETIME()","'"&amp;SUBSTITUTE($I47,"'","''")&amp;"'")&amp;" WHERE NOT EXISTS (SELECT 1 FROM Posts WHERE URL_Post = "&amp;"'"&amp;SUBSTITUTE($C47,"'","''")&amp;"'"&amp;");")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6"/>
      <c r="G48" s="26"/>
      <c r="H48" s="28"/>
      <c r="I48" s="28"/>
      <c r="K48" s="25" t="str">
        <f aca="false">IF($A48="","","INSERT INTO Posts (Titulo_Post, Resumo, URL_Post, URL_Imagem, Fonte, ID_Categoria, ID_Autor, DataPublicacao, DataColeta) SELECT "&amp;"'"&amp;SUBSTITUTE($A48,"'","''")&amp;"'"&amp;", "&amp;IF($B48="","NULL","'"&amp;SUBSTITUTE($B48,"'","''")&amp;"'")&amp;", "&amp;"'"&amp;SUBSTITUTE($C48,"'","''")&amp;"'"&amp;", "&amp;IF($D48="","NULL","'"&amp;SUBSTITUTE($D48,"'","''")&amp;"'")&amp;", "&amp;IF($E48="","NULL","'"&amp;SUBSTITUTE($E48,"'","''")&amp;"'")&amp;", "&amp;"(SELECT ID_Categoria FROM Categorias WHERE NomeCategoria = '"&amp;SUBSTITUTE($F48,"'","''")&amp;"')"&amp;", "&amp;IF($G48="","NULL","(SELECT ID_Usuario FROM Usuario WHERE NomeUsuario = '"&amp;SUBSTITUTE($G48,"'","''")&amp;"')")&amp;", "&amp;"'"&amp;SUBSTITUTE($H48,"'","''")&amp;"'"&amp;", "&amp;IF($I48="","SYSDATETIME()","'"&amp;SUBSTITUTE($I48,"'","''")&amp;"'")&amp;" WHERE NOT EXISTS (SELECT 1 FROM Posts WHERE URL_Post = "&amp;"'"&amp;SUBSTITUTE($C48,"'","''")&amp;"'"&amp;");")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6"/>
      <c r="G49" s="26"/>
      <c r="H49" s="28"/>
      <c r="I49" s="28"/>
      <c r="K49" s="25" t="str">
        <f aca="false">IF($A49="","","INSERT INTO Posts (Titulo_Post, Resumo, URL_Post, URL_Imagem, Fonte, ID_Categoria, ID_Autor, DataPublicacao, DataColeta) SELECT "&amp;"'"&amp;SUBSTITUTE($A49,"'","''")&amp;"'"&amp;", "&amp;IF($B49="","NULL","'"&amp;SUBSTITUTE($B49,"'","''")&amp;"'")&amp;", "&amp;"'"&amp;SUBSTITUTE($C49,"'","''")&amp;"'"&amp;", "&amp;IF($D49="","NULL","'"&amp;SUBSTITUTE($D49,"'","''")&amp;"'")&amp;", "&amp;IF($E49="","NULL","'"&amp;SUBSTITUTE($E49,"'","''")&amp;"'")&amp;", "&amp;"(SELECT ID_Categoria FROM Categorias WHERE NomeCategoria = '"&amp;SUBSTITUTE($F49,"'","''")&amp;"')"&amp;", "&amp;IF($G49="","NULL","(SELECT ID_Usuario FROM Usuario WHERE NomeUsuario = '"&amp;SUBSTITUTE($G49,"'","''")&amp;"')")&amp;", "&amp;"'"&amp;SUBSTITUTE($H49,"'","''")&amp;"'"&amp;", "&amp;IF($I49="","SYSDATETIME()","'"&amp;SUBSTITUTE($I49,"'","''")&amp;"'")&amp;" WHERE NOT EXISTS (SELECT 1 FROM Posts WHERE URL_Post = "&amp;"'"&amp;SUBSTITUTE($C49,"'","''")&amp;"'"&amp;");")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6"/>
      <c r="G50" s="26"/>
      <c r="H50" s="28"/>
      <c r="I50" s="28"/>
      <c r="K50" s="25" t="str">
        <f aca="false">IF($A50="","","INSERT INTO Posts (Titulo_Post, Resumo, URL_Post, URL_Imagem, Fonte, ID_Categoria, ID_Autor, DataPublicacao, DataColeta) SELECT "&amp;"'"&amp;SUBSTITUTE($A50,"'","''")&amp;"'"&amp;", "&amp;IF($B50="","NULL","'"&amp;SUBSTITUTE($B50,"'","''")&amp;"'")&amp;", "&amp;"'"&amp;SUBSTITUTE($C50,"'","''")&amp;"'"&amp;", "&amp;IF($D50="","NULL","'"&amp;SUBSTITUTE($D50,"'","''")&amp;"'")&amp;", "&amp;IF($E50="","NULL","'"&amp;SUBSTITUTE($E50,"'","''")&amp;"'")&amp;", "&amp;"(SELECT ID_Categoria FROM Categorias WHERE NomeCategoria = '"&amp;SUBSTITUTE($F50,"'","''")&amp;"')"&amp;", "&amp;IF($G50="","NULL","(SELECT ID_Usuario FROM Usuario WHERE NomeUsuario = '"&amp;SUBSTITUTE($G50,"'","''")&amp;"')")&amp;", "&amp;"'"&amp;SUBSTITUTE($H50,"'","''")&amp;"'"&amp;", "&amp;IF($I50="","SYSDATETIME()","'"&amp;SUBSTITUTE($I50,"'","''")&amp;"'")&amp;" WHERE NOT EXISTS (SELECT 1 FROM Posts WHERE URL_Post = "&amp;"'"&amp;SUBSTITUTE($C50,"'","''")&amp;"'"&amp;");")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6"/>
      <c r="G51" s="26"/>
      <c r="H51" s="28"/>
      <c r="I51" s="28"/>
      <c r="K51" s="25" t="str">
        <f aca="false">IF($A51="","","INSERT INTO Posts (Titulo_Post, Resumo, URL_Post, URL_Imagem, Fonte, ID_Categoria, ID_Autor, DataPublicacao, DataColeta) SELECT "&amp;"'"&amp;SUBSTITUTE($A51,"'","''")&amp;"'"&amp;", "&amp;IF($B51="","NULL","'"&amp;SUBSTITUTE($B51,"'","''")&amp;"'")&amp;", "&amp;"'"&amp;SUBSTITUTE($C51,"'","''")&amp;"'"&amp;", "&amp;IF($D51="","NULL","'"&amp;SUBSTITUTE($D51,"'","''")&amp;"'")&amp;", "&amp;IF($E51="","NULL","'"&amp;SUBSTITUTE($E51,"'","''")&amp;"'")&amp;", "&amp;"(SELECT ID_Categoria FROM Categorias WHERE NomeCategoria = '"&amp;SUBSTITUTE($F51,"'","''")&amp;"')"&amp;", "&amp;IF($G51="","NULL","(SELECT ID_Usuario FROM Usuario WHERE NomeUsuario = '"&amp;SUBSTITUTE($G51,"'","''")&amp;"')")&amp;", "&amp;"'"&amp;SUBSTITUTE($H51,"'","''")&amp;"'"&amp;", "&amp;IF($I51="","SYSDATETIME()","'"&amp;SUBSTITUTE($I51,"'","''")&amp;"'")&amp;" WHERE NOT EXISTS (SELECT 1 FROM Posts WHERE URL_Post = "&amp;"'"&amp;SUBSTITUTE($C51,"'","''")&amp;"'"&amp;");")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6"/>
      <c r="G52" s="26"/>
      <c r="H52" s="28"/>
      <c r="I52" s="28"/>
      <c r="K52" s="25" t="str">
        <f aca="false">IF($A52="","","INSERT INTO Posts (Titulo_Post, Resumo, URL_Post, URL_Imagem, Fonte, ID_Categoria, ID_Autor, DataPublicacao, DataColeta) SELECT "&amp;"'"&amp;SUBSTITUTE($A52,"'","''")&amp;"'"&amp;", "&amp;IF($B52="","NULL","'"&amp;SUBSTITUTE($B52,"'","''")&amp;"'")&amp;", "&amp;"'"&amp;SUBSTITUTE($C52,"'","''")&amp;"'"&amp;", "&amp;IF($D52="","NULL","'"&amp;SUBSTITUTE($D52,"'","''")&amp;"'")&amp;", "&amp;IF($E52="","NULL","'"&amp;SUBSTITUTE($E52,"'","''")&amp;"'")&amp;", "&amp;"(SELECT ID_Categoria FROM Categorias WHERE NomeCategoria = '"&amp;SUBSTITUTE($F52,"'","''")&amp;"')"&amp;", "&amp;IF($G52="","NULL","(SELECT ID_Usuario FROM Usuario WHERE NomeUsuario = '"&amp;SUBSTITUTE($G52,"'","''")&amp;"')")&amp;", "&amp;"'"&amp;SUBSTITUTE($H52,"'","''")&amp;"'"&amp;", "&amp;IF($I52="","SYSDATETIME()","'"&amp;SUBSTITUTE($I52,"'","''")&amp;"'")&amp;" WHERE NOT EXISTS (SELECT 1 FROM Posts WHERE URL_Post = "&amp;"'"&amp;SUBSTITUTE($C52,"'","''")&amp;"'"&amp;");")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6"/>
      <c r="G53" s="26"/>
      <c r="H53" s="28"/>
      <c r="I53" s="28"/>
      <c r="K53" s="25" t="str">
        <f aca="false">IF($A53="","","INSERT INTO Posts (Titulo_Post, Resumo, URL_Post, URL_Imagem, Fonte, ID_Categoria, ID_Autor, DataPublicacao, DataColeta) SELECT "&amp;"'"&amp;SUBSTITUTE($A53,"'","''")&amp;"'"&amp;", "&amp;IF($B53="","NULL","'"&amp;SUBSTITUTE($B53,"'","''")&amp;"'")&amp;", "&amp;"'"&amp;SUBSTITUTE($C53,"'","''")&amp;"'"&amp;", "&amp;IF($D53="","NULL","'"&amp;SUBSTITUTE($D53,"'","''")&amp;"'")&amp;", "&amp;IF($E53="","NULL","'"&amp;SUBSTITUTE($E53,"'","''")&amp;"'")&amp;", "&amp;"(SELECT ID_Categoria FROM Categorias WHERE NomeCategoria = '"&amp;SUBSTITUTE($F53,"'","''")&amp;"')"&amp;", "&amp;IF($G53="","NULL","(SELECT ID_Usuario FROM Usuario WHERE NomeUsuario = '"&amp;SUBSTITUTE($G53,"'","''")&amp;"')")&amp;", "&amp;"'"&amp;SUBSTITUTE($H53,"'","''")&amp;"'"&amp;", "&amp;IF($I53="","SYSDATETIME()","'"&amp;SUBSTITUTE($I53,"'","''")&amp;"'")&amp;" WHERE NOT EXISTS (SELECT 1 FROM Posts WHERE URL_Post = "&amp;"'"&amp;SUBSTITUTE($C53,"'","''")&amp;"'"&amp;");")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6"/>
      <c r="G54" s="26"/>
      <c r="H54" s="28"/>
      <c r="I54" s="28"/>
      <c r="K54" s="25" t="str">
        <f aca="false">IF($A54="","","INSERT INTO Posts (Titulo_Post, Resumo, URL_Post, URL_Imagem, Fonte, ID_Categoria, ID_Autor, DataPublicacao, DataColeta) SELECT "&amp;"'"&amp;SUBSTITUTE($A54,"'","''")&amp;"'"&amp;", "&amp;IF($B54="","NULL","'"&amp;SUBSTITUTE($B54,"'","''")&amp;"'")&amp;", "&amp;"'"&amp;SUBSTITUTE($C54,"'","''")&amp;"'"&amp;", "&amp;IF($D54="","NULL","'"&amp;SUBSTITUTE($D54,"'","''")&amp;"'")&amp;", "&amp;IF($E54="","NULL","'"&amp;SUBSTITUTE($E54,"'","''")&amp;"'")&amp;", "&amp;"(SELECT ID_Categoria FROM Categorias WHERE NomeCategoria = '"&amp;SUBSTITUTE($F54,"'","''")&amp;"')"&amp;", "&amp;IF($G54="","NULL","(SELECT ID_Usuario FROM Usuario WHERE NomeUsuario = '"&amp;SUBSTITUTE($G54,"'","''")&amp;"')")&amp;", "&amp;"'"&amp;SUBSTITUTE($H54,"'","''")&amp;"'"&amp;", "&amp;IF($I54="","SYSDATETIME()","'"&amp;SUBSTITUTE($I54,"'","''")&amp;"'")&amp;" WHERE NOT EXISTS (SELECT 1 FROM Posts WHERE URL_Post = "&amp;"'"&amp;SUBSTITUTE($C54,"'","''")&amp;"'"&amp;");")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6"/>
      <c r="G55" s="26"/>
      <c r="H55" s="28"/>
      <c r="I55" s="28"/>
      <c r="K55" s="25" t="str">
        <f aca="false">IF($A55="","","INSERT INTO Posts (Titulo_Post, Resumo, URL_Post, URL_Imagem, Fonte, ID_Categoria, ID_Autor, DataPublicacao, DataColeta) SELECT "&amp;"'"&amp;SUBSTITUTE($A55,"'","''")&amp;"'"&amp;", "&amp;IF($B55="","NULL","'"&amp;SUBSTITUTE($B55,"'","''")&amp;"'")&amp;", "&amp;"'"&amp;SUBSTITUTE($C55,"'","''")&amp;"'"&amp;", "&amp;IF($D55="","NULL","'"&amp;SUBSTITUTE($D55,"'","''")&amp;"'")&amp;", "&amp;IF($E55="","NULL","'"&amp;SUBSTITUTE($E55,"'","''")&amp;"'")&amp;", "&amp;"(SELECT ID_Categoria FROM Categorias WHERE NomeCategoria = '"&amp;SUBSTITUTE($F55,"'","''")&amp;"')"&amp;", "&amp;IF($G55="","NULL","(SELECT ID_Usuario FROM Usuario WHERE NomeUsuario = '"&amp;SUBSTITUTE($G55,"'","''")&amp;"')")&amp;", "&amp;"'"&amp;SUBSTITUTE($H55,"'","''")&amp;"'"&amp;", "&amp;IF($I55="","SYSDATETIME()","'"&amp;SUBSTITUTE($I55,"'","''")&amp;"'")&amp;" WHERE NOT EXISTS (SELECT 1 FROM Posts WHERE URL_Post = "&amp;"'"&amp;SUBSTITUTE($C55,"'","''")&amp;"'"&amp;");")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6"/>
      <c r="G56" s="26"/>
      <c r="H56" s="28"/>
      <c r="I56" s="28"/>
      <c r="K56" s="25" t="str">
        <f aca="false">IF($A56="","","INSERT INTO Posts (Titulo_Post, Resumo, URL_Post, URL_Imagem, Fonte, ID_Categoria, ID_Autor, DataPublicacao, DataColeta) SELECT "&amp;"'"&amp;SUBSTITUTE($A56,"'","''")&amp;"'"&amp;", "&amp;IF($B56="","NULL","'"&amp;SUBSTITUTE($B56,"'","''")&amp;"'")&amp;", "&amp;"'"&amp;SUBSTITUTE($C56,"'","''")&amp;"'"&amp;", "&amp;IF($D56="","NULL","'"&amp;SUBSTITUTE($D56,"'","''")&amp;"'")&amp;", "&amp;IF($E56="","NULL","'"&amp;SUBSTITUTE($E56,"'","''")&amp;"'")&amp;", "&amp;"(SELECT ID_Categoria FROM Categorias WHERE NomeCategoria = '"&amp;SUBSTITUTE($F56,"'","''")&amp;"')"&amp;", "&amp;IF($G56="","NULL","(SELECT ID_Usuario FROM Usuario WHERE NomeUsuario = '"&amp;SUBSTITUTE($G56,"'","''")&amp;"')")&amp;", "&amp;"'"&amp;SUBSTITUTE($H56,"'","''")&amp;"'"&amp;", "&amp;IF($I56="","SYSDATETIME()","'"&amp;SUBSTITUTE($I56,"'","''")&amp;"'")&amp;" WHERE NOT EXISTS (SELECT 1 FROM Posts WHERE URL_Post = "&amp;"'"&amp;SUBSTITUTE($C56,"'","''")&amp;"'"&amp;");")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6"/>
      <c r="G57" s="26"/>
      <c r="H57" s="28"/>
      <c r="I57" s="28"/>
      <c r="K57" s="25" t="str">
        <f aca="false">IF($A57="","","INSERT INTO Posts (Titulo_Post, Resumo, URL_Post, URL_Imagem, Fonte, ID_Categoria, ID_Autor, DataPublicacao, DataColeta) SELECT "&amp;"'"&amp;SUBSTITUTE($A57,"'","''")&amp;"'"&amp;", "&amp;IF($B57="","NULL","'"&amp;SUBSTITUTE($B57,"'","''")&amp;"'")&amp;", "&amp;"'"&amp;SUBSTITUTE($C57,"'","''")&amp;"'"&amp;", "&amp;IF($D57="","NULL","'"&amp;SUBSTITUTE($D57,"'","''")&amp;"'")&amp;", "&amp;IF($E57="","NULL","'"&amp;SUBSTITUTE($E57,"'","''")&amp;"'")&amp;", "&amp;"(SELECT ID_Categoria FROM Categorias WHERE NomeCategoria = '"&amp;SUBSTITUTE($F57,"'","''")&amp;"')"&amp;", "&amp;IF($G57="","NULL","(SELECT ID_Usuario FROM Usuario WHERE NomeUsuario = '"&amp;SUBSTITUTE($G57,"'","''")&amp;"')")&amp;", "&amp;"'"&amp;SUBSTITUTE($H57,"'","''")&amp;"'"&amp;", "&amp;IF($I57="","SYSDATETIME()","'"&amp;SUBSTITUTE($I57,"'","''")&amp;"'")&amp;" WHERE NOT EXISTS (SELECT 1 FROM Posts WHERE URL_Post = "&amp;"'"&amp;SUBSTITUTE($C57,"'","''")&amp;"'"&amp;");")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6"/>
      <c r="G58" s="26"/>
      <c r="H58" s="28"/>
      <c r="I58" s="28"/>
      <c r="K58" s="25" t="str">
        <f aca="false">IF($A58="","","INSERT INTO Posts (Titulo_Post, Resumo, URL_Post, URL_Imagem, Fonte, ID_Categoria, ID_Autor, DataPublicacao, DataColeta) SELECT "&amp;"'"&amp;SUBSTITUTE($A58,"'","''")&amp;"'"&amp;", "&amp;IF($B58="","NULL","'"&amp;SUBSTITUTE($B58,"'","''")&amp;"'")&amp;", "&amp;"'"&amp;SUBSTITUTE($C58,"'","''")&amp;"'"&amp;", "&amp;IF($D58="","NULL","'"&amp;SUBSTITUTE($D58,"'","''")&amp;"'")&amp;", "&amp;IF($E58="","NULL","'"&amp;SUBSTITUTE($E58,"'","''")&amp;"'")&amp;", "&amp;"(SELECT ID_Categoria FROM Categorias WHERE NomeCategoria = '"&amp;SUBSTITUTE($F58,"'","''")&amp;"')"&amp;", "&amp;IF($G58="","NULL","(SELECT ID_Usuario FROM Usuario WHERE NomeUsuario = '"&amp;SUBSTITUTE($G58,"'","''")&amp;"')")&amp;", "&amp;"'"&amp;SUBSTITUTE($H58,"'","''")&amp;"'"&amp;", "&amp;IF($I58="","SYSDATETIME()","'"&amp;SUBSTITUTE($I58,"'","''")&amp;"'")&amp;" WHERE NOT EXISTS (SELECT 1 FROM Posts WHERE URL_Post = "&amp;"'"&amp;SUBSTITUTE($C58,"'","''")&amp;"'"&amp;");")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6"/>
      <c r="G59" s="26"/>
      <c r="H59" s="28"/>
      <c r="I59" s="28"/>
      <c r="K59" s="25" t="str">
        <f aca="false">IF($A59="","","INSERT INTO Posts (Titulo_Post, Resumo, URL_Post, URL_Imagem, Fonte, ID_Categoria, ID_Autor, DataPublicacao, DataColeta) SELECT "&amp;"'"&amp;SUBSTITUTE($A59,"'","''")&amp;"'"&amp;", "&amp;IF($B59="","NULL","'"&amp;SUBSTITUTE($B59,"'","''")&amp;"'")&amp;", "&amp;"'"&amp;SUBSTITUTE($C59,"'","''")&amp;"'"&amp;", "&amp;IF($D59="","NULL","'"&amp;SUBSTITUTE($D59,"'","''")&amp;"'")&amp;", "&amp;IF($E59="","NULL","'"&amp;SUBSTITUTE($E59,"'","''")&amp;"'")&amp;", "&amp;"(SELECT ID_Categoria FROM Categorias WHERE NomeCategoria = '"&amp;SUBSTITUTE($F59,"'","''")&amp;"')"&amp;", "&amp;IF($G59="","NULL","(SELECT ID_Usuario FROM Usuario WHERE NomeUsuario = '"&amp;SUBSTITUTE($G59,"'","''")&amp;"')")&amp;", "&amp;"'"&amp;SUBSTITUTE($H59,"'","''")&amp;"'"&amp;", "&amp;IF($I59="","SYSDATETIME()","'"&amp;SUBSTITUTE($I59,"'","''")&amp;"'")&amp;" WHERE NOT EXISTS (SELECT 1 FROM Posts WHERE URL_Post = "&amp;"'"&amp;SUBSTITUTE($C59,"'","''")&amp;"'"&amp;");")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6"/>
      <c r="G60" s="26"/>
      <c r="H60" s="28"/>
      <c r="I60" s="28"/>
      <c r="K60" s="25" t="str">
        <f aca="false">IF($A60="","","INSERT INTO Posts (Titulo_Post, Resumo, URL_Post, URL_Imagem, Fonte, ID_Categoria, ID_Autor, DataPublicacao, DataColeta) SELECT "&amp;"'"&amp;SUBSTITUTE($A60,"'","''")&amp;"'"&amp;", "&amp;IF($B60="","NULL","'"&amp;SUBSTITUTE($B60,"'","''")&amp;"'")&amp;", "&amp;"'"&amp;SUBSTITUTE($C60,"'","''")&amp;"'"&amp;", "&amp;IF($D60="","NULL","'"&amp;SUBSTITUTE($D60,"'","''")&amp;"'")&amp;", "&amp;IF($E60="","NULL","'"&amp;SUBSTITUTE($E60,"'","''")&amp;"'")&amp;", "&amp;"(SELECT ID_Categoria FROM Categorias WHERE NomeCategoria = '"&amp;SUBSTITUTE($F60,"'","''")&amp;"')"&amp;", "&amp;IF($G60="","NULL","(SELECT ID_Usuario FROM Usuario WHERE NomeUsuario = '"&amp;SUBSTITUTE($G60,"'","''")&amp;"')")&amp;", "&amp;"'"&amp;SUBSTITUTE($H60,"'","''")&amp;"'"&amp;", "&amp;IF($I60="","SYSDATETIME()","'"&amp;SUBSTITUTE($I60,"'","''")&amp;"'")&amp;" WHERE NOT EXISTS (SELECT 1 FROM Posts WHERE URL_Post = "&amp;"'"&amp;SUBSTITUTE($C60,"'","''")&amp;"'"&amp;");")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  <c r="G61" s="26"/>
      <c r="H61" s="28"/>
      <c r="I61" s="28"/>
      <c r="K61" s="25" t="str">
        <f aca="false">IF($A61="","","INSERT INTO Posts (Titulo_Post, Resumo, URL_Post, URL_Imagem, Fonte, ID_Categoria, ID_Autor, DataPublicacao, DataColeta) SELECT "&amp;"'"&amp;SUBSTITUTE($A61,"'","''")&amp;"'"&amp;", "&amp;IF($B61="","NULL","'"&amp;SUBSTITUTE($B61,"'","''")&amp;"'")&amp;", "&amp;"'"&amp;SUBSTITUTE($C61,"'","''")&amp;"'"&amp;", "&amp;IF($D61="","NULL","'"&amp;SUBSTITUTE($D61,"'","''")&amp;"'")&amp;", "&amp;IF($E61="","NULL","'"&amp;SUBSTITUTE($E61,"'","''")&amp;"'")&amp;", "&amp;"(SELECT ID_Categoria FROM Categorias WHERE NomeCategoria = '"&amp;SUBSTITUTE($F61,"'","''")&amp;"')"&amp;", "&amp;IF($G61="","NULL","(SELECT ID_Usuario FROM Usuario WHERE NomeUsuario = '"&amp;SUBSTITUTE($G61,"'","''")&amp;"')")&amp;", "&amp;"'"&amp;SUBSTITUTE($H61,"'","''")&amp;"'"&amp;", "&amp;IF($I61="","SYSDATETIME()","'"&amp;SUBSTITUTE($I61,"'","''")&amp;"'")&amp;" WHERE NOT EXISTS (SELECT 1 FROM Posts WHERE URL_Post = "&amp;"'"&amp;SUBSTITUTE($C61,"'","''")&amp;"'"&amp;");")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  <c r="G62" s="26"/>
      <c r="H62" s="28"/>
      <c r="I62" s="28"/>
      <c r="K62" s="25" t="str">
        <f aca="false">IF($A62="","","INSERT INTO Posts (Titulo_Post, Resumo, URL_Post, URL_Imagem, Fonte, ID_Categoria, ID_Autor, DataPublicacao, DataColeta) SELECT "&amp;"'"&amp;SUBSTITUTE($A62,"'","''")&amp;"'"&amp;", "&amp;IF($B62="","NULL","'"&amp;SUBSTITUTE($B62,"'","''")&amp;"'")&amp;", "&amp;"'"&amp;SUBSTITUTE($C62,"'","''")&amp;"'"&amp;", "&amp;IF($D62="","NULL","'"&amp;SUBSTITUTE($D62,"'","''")&amp;"'")&amp;", "&amp;IF($E62="","NULL","'"&amp;SUBSTITUTE($E62,"'","''")&amp;"'")&amp;", "&amp;"(SELECT ID_Categoria FROM Categorias WHERE NomeCategoria = '"&amp;SUBSTITUTE($F62,"'","''")&amp;"')"&amp;", "&amp;IF($G62="","NULL","(SELECT ID_Usuario FROM Usuario WHERE NomeUsuario = '"&amp;SUBSTITUTE($G62,"'","''")&amp;"')")&amp;", "&amp;"'"&amp;SUBSTITUTE($H62,"'","''")&amp;"'"&amp;", "&amp;IF($I62="","SYSDATETIME()","'"&amp;SUBSTITUTE($I62,"'","''")&amp;"'")&amp;" WHERE NOT EXISTS (SELECT 1 FROM Posts WHERE URL_Post = "&amp;"'"&amp;SUBSTITUTE($C62,"'","''")&amp;"'"&amp;");")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6"/>
      <c r="G63" s="26"/>
      <c r="H63" s="28"/>
      <c r="I63" s="28"/>
      <c r="K63" s="25" t="str">
        <f aca="false">IF($A63="","","INSERT INTO Posts (Titulo_Post, Resumo, URL_Post, URL_Imagem, Fonte, ID_Categoria, ID_Autor, DataPublicacao, DataColeta) SELECT "&amp;"'"&amp;SUBSTITUTE($A63,"'","''")&amp;"'"&amp;", "&amp;IF($B63="","NULL","'"&amp;SUBSTITUTE($B63,"'","''")&amp;"'")&amp;", "&amp;"'"&amp;SUBSTITUTE($C63,"'","''")&amp;"'"&amp;", "&amp;IF($D63="","NULL","'"&amp;SUBSTITUTE($D63,"'","''")&amp;"'")&amp;", "&amp;IF($E63="","NULL","'"&amp;SUBSTITUTE($E63,"'","''")&amp;"'")&amp;", "&amp;"(SELECT ID_Categoria FROM Categorias WHERE NomeCategoria = '"&amp;SUBSTITUTE($F63,"'","''")&amp;"')"&amp;", "&amp;IF($G63="","NULL","(SELECT ID_Usuario FROM Usuario WHERE NomeUsuario = '"&amp;SUBSTITUTE($G63,"'","''")&amp;"')")&amp;", "&amp;"'"&amp;SUBSTITUTE($H63,"'","''")&amp;"'"&amp;", "&amp;IF($I63="","SYSDATETIME()","'"&amp;SUBSTITUTE($I63,"'","''")&amp;"'")&amp;" WHERE NOT EXISTS (SELECT 1 FROM Posts WHERE URL_Post = "&amp;"'"&amp;SUBSTITUTE($C63,"'","''")&amp;"'"&amp;");")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6"/>
      <c r="G64" s="26"/>
      <c r="H64" s="28"/>
      <c r="I64" s="28"/>
      <c r="K64" s="25" t="str">
        <f aca="false">IF($A64="","","INSERT INTO Posts (Titulo_Post, Resumo, URL_Post, URL_Imagem, Fonte, ID_Categoria, ID_Autor, DataPublicacao, DataColeta) SELECT "&amp;"'"&amp;SUBSTITUTE($A64,"'","''")&amp;"'"&amp;", "&amp;IF($B64="","NULL","'"&amp;SUBSTITUTE($B64,"'","''")&amp;"'")&amp;", "&amp;"'"&amp;SUBSTITUTE($C64,"'","''")&amp;"'"&amp;", "&amp;IF($D64="","NULL","'"&amp;SUBSTITUTE($D64,"'","''")&amp;"'")&amp;", "&amp;IF($E64="","NULL","'"&amp;SUBSTITUTE($E64,"'","''")&amp;"'")&amp;", "&amp;"(SELECT ID_Categoria FROM Categorias WHERE NomeCategoria = '"&amp;SUBSTITUTE($F64,"'","''")&amp;"')"&amp;", "&amp;IF($G64="","NULL","(SELECT ID_Usuario FROM Usuario WHERE NomeUsuario = '"&amp;SUBSTITUTE($G64,"'","''")&amp;"')")&amp;", "&amp;"'"&amp;SUBSTITUTE($H64,"'","''")&amp;"'"&amp;", "&amp;IF($I64="","SYSDATETIME()","'"&amp;SUBSTITUTE($I64,"'","''")&amp;"'")&amp;" WHERE NOT EXISTS (SELECT 1 FROM Posts WHERE URL_Post = "&amp;"'"&amp;SUBSTITUTE($C64,"'","''")&amp;"'"&amp;");")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6"/>
      <c r="G65" s="26"/>
      <c r="H65" s="28"/>
      <c r="I65" s="28"/>
      <c r="K65" s="25" t="str">
        <f aca="false">IF($A65="","","INSERT INTO Posts (Titulo_Post, Resumo, URL_Post, URL_Imagem, Fonte, ID_Categoria, ID_Autor, DataPublicacao, DataColeta) SELECT "&amp;"'"&amp;SUBSTITUTE($A65,"'","''")&amp;"'"&amp;", "&amp;IF($B65="","NULL","'"&amp;SUBSTITUTE($B65,"'","''")&amp;"'")&amp;", "&amp;"'"&amp;SUBSTITUTE($C65,"'","''")&amp;"'"&amp;", "&amp;IF($D65="","NULL","'"&amp;SUBSTITUTE($D65,"'","''")&amp;"'")&amp;", "&amp;IF($E65="","NULL","'"&amp;SUBSTITUTE($E65,"'","''")&amp;"'")&amp;", "&amp;"(SELECT ID_Categoria FROM Categorias WHERE NomeCategoria = '"&amp;SUBSTITUTE($F65,"'","''")&amp;"')"&amp;", "&amp;IF($G65="","NULL","(SELECT ID_Usuario FROM Usuario WHERE NomeUsuario = '"&amp;SUBSTITUTE($G65,"'","''")&amp;"')")&amp;", "&amp;"'"&amp;SUBSTITUTE($H65,"'","''")&amp;"'"&amp;", "&amp;IF($I65="","SYSDATETIME()","'"&amp;SUBSTITUTE($I65,"'","''")&amp;"'")&amp;" WHERE NOT EXISTS (SELECT 1 FROM Posts WHERE URL_Post = "&amp;"'"&amp;SUBSTITUTE($C65,"'","''")&amp;"'"&amp;");")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6"/>
      <c r="G66" s="26"/>
      <c r="H66" s="28"/>
      <c r="I66" s="28"/>
      <c r="K66" s="25" t="str">
        <f aca="false">IF($A66="","","INSERT INTO Posts (Titulo_Post, Resumo, URL_Post, URL_Imagem, Fonte, ID_Categoria, ID_Autor, DataPublicacao, DataColeta) SELECT "&amp;"'"&amp;SUBSTITUTE($A66,"'","''")&amp;"'"&amp;", "&amp;IF($B66="","NULL","'"&amp;SUBSTITUTE($B66,"'","''")&amp;"'")&amp;", "&amp;"'"&amp;SUBSTITUTE($C66,"'","''")&amp;"'"&amp;", "&amp;IF($D66="","NULL","'"&amp;SUBSTITUTE($D66,"'","''")&amp;"'")&amp;", "&amp;IF($E66="","NULL","'"&amp;SUBSTITUTE($E66,"'","''")&amp;"'")&amp;", "&amp;"(SELECT ID_Categoria FROM Categorias WHERE NomeCategoria = '"&amp;SUBSTITUTE($F66,"'","''")&amp;"')"&amp;", "&amp;IF($G66="","NULL","(SELECT ID_Usuario FROM Usuario WHERE NomeUsuario = '"&amp;SUBSTITUTE($G66,"'","''")&amp;"')")&amp;", "&amp;"'"&amp;SUBSTITUTE($H66,"'","''")&amp;"'"&amp;", "&amp;IF($I66="","SYSDATETIME()","'"&amp;SUBSTITUTE($I66,"'","''")&amp;"'")&amp;" WHERE NOT EXISTS (SELECT 1 FROM Posts WHERE URL_Post = "&amp;"'"&amp;SUBSTITUTE($C66,"'","''")&amp;"'"&amp;");")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6"/>
      <c r="G67" s="26"/>
      <c r="H67" s="28"/>
      <c r="I67" s="28"/>
      <c r="K67" s="25" t="str">
        <f aca="false">IF($A67="","","INSERT INTO Posts (Titulo_Post, Resumo, URL_Post, URL_Imagem, Fonte, ID_Categoria, ID_Autor, DataPublicacao, DataColeta) SELECT "&amp;"'"&amp;SUBSTITUTE($A67,"'","''")&amp;"'"&amp;", "&amp;IF($B67="","NULL","'"&amp;SUBSTITUTE($B67,"'","''")&amp;"'")&amp;", "&amp;"'"&amp;SUBSTITUTE($C67,"'","''")&amp;"'"&amp;", "&amp;IF($D67="","NULL","'"&amp;SUBSTITUTE($D67,"'","''")&amp;"'")&amp;", "&amp;IF($E67="","NULL","'"&amp;SUBSTITUTE($E67,"'","''")&amp;"'")&amp;", "&amp;"(SELECT ID_Categoria FROM Categorias WHERE NomeCategoria = '"&amp;SUBSTITUTE($F67,"'","''")&amp;"')"&amp;", "&amp;IF($G67="","NULL","(SELECT ID_Usuario FROM Usuario WHERE NomeUsuario = '"&amp;SUBSTITUTE($G67,"'","''")&amp;"')")&amp;", "&amp;"'"&amp;SUBSTITUTE($H67,"'","''")&amp;"'"&amp;", "&amp;IF($I67="","SYSDATETIME()","'"&amp;SUBSTITUTE($I67,"'","''")&amp;"'")&amp;" WHERE NOT EXISTS (SELECT 1 FROM Posts WHERE URL_Post = "&amp;"'"&amp;SUBSTITUTE($C67,"'","''")&amp;"'"&amp;");")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6"/>
      <c r="G68" s="26"/>
      <c r="H68" s="28"/>
      <c r="I68" s="28"/>
      <c r="K68" s="25" t="str">
        <f aca="false">IF($A68="","","INSERT INTO Posts (Titulo_Post, Resumo, URL_Post, URL_Imagem, Fonte, ID_Categoria, ID_Autor, DataPublicacao, DataColeta) SELECT "&amp;"'"&amp;SUBSTITUTE($A68,"'","''")&amp;"'"&amp;", "&amp;IF($B68="","NULL","'"&amp;SUBSTITUTE($B68,"'","''")&amp;"'")&amp;", "&amp;"'"&amp;SUBSTITUTE($C68,"'","''")&amp;"'"&amp;", "&amp;IF($D68="","NULL","'"&amp;SUBSTITUTE($D68,"'","''")&amp;"'")&amp;", "&amp;IF($E68="","NULL","'"&amp;SUBSTITUTE($E68,"'","''")&amp;"'")&amp;", "&amp;"(SELECT ID_Categoria FROM Categorias WHERE NomeCategoria = '"&amp;SUBSTITUTE($F68,"'","''")&amp;"')"&amp;", "&amp;IF($G68="","NULL","(SELECT ID_Usuario FROM Usuario WHERE NomeUsuario = '"&amp;SUBSTITUTE($G68,"'","''")&amp;"')")&amp;", "&amp;"'"&amp;SUBSTITUTE($H68,"'","''")&amp;"'"&amp;", "&amp;IF($I68="","SYSDATETIME()","'"&amp;SUBSTITUTE($I68,"'","''")&amp;"'")&amp;" WHERE NOT EXISTS (SELECT 1 FROM Posts WHERE URL_Post = "&amp;"'"&amp;SUBSTITUTE($C68,"'","''")&amp;"'"&amp;");")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6"/>
      <c r="G69" s="26"/>
      <c r="H69" s="28"/>
      <c r="I69" s="28"/>
      <c r="K69" s="25" t="str">
        <f aca="false">IF($A69="","","INSERT INTO Posts (Titulo_Post, Resumo, URL_Post, URL_Imagem, Fonte, ID_Categoria, ID_Autor, DataPublicacao, DataColeta) SELECT "&amp;"'"&amp;SUBSTITUTE($A69,"'","''")&amp;"'"&amp;", "&amp;IF($B69="","NULL","'"&amp;SUBSTITUTE($B69,"'","''")&amp;"'")&amp;", "&amp;"'"&amp;SUBSTITUTE($C69,"'","''")&amp;"'"&amp;", "&amp;IF($D69="","NULL","'"&amp;SUBSTITUTE($D69,"'","''")&amp;"'")&amp;", "&amp;IF($E69="","NULL","'"&amp;SUBSTITUTE($E69,"'","''")&amp;"'")&amp;", "&amp;"(SELECT ID_Categoria FROM Categorias WHERE NomeCategoria = '"&amp;SUBSTITUTE($F69,"'","''")&amp;"')"&amp;", "&amp;IF($G69="","NULL","(SELECT ID_Usuario FROM Usuario WHERE NomeUsuario = '"&amp;SUBSTITUTE($G69,"'","''")&amp;"')")&amp;", "&amp;"'"&amp;SUBSTITUTE($H69,"'","''")&amp;"'"&amp;", "&amp;IF($I69="","SYSDATETIME()","'"&amp;SUBSTITUTE($I69,"'","''")&amp;"'")&amp;" WHERE NOT EXISTS (SELECT 1 FROM Posts WHERE URL_Post = "&amp;"'"&amp;SUBSTITUTE($C69,"'","''")&amp;"'"&amp;");")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6"/>
      <c r="G70" s="26"/>
      <c r="H70" s="28"/>
      <c r="I70" s="28"/>
      <c r="K70" s="25" t="str">
        <f aca="false">IF($A70="","","INSERT INTO Posts (Titulo_Post, Resumo, URL_Post, URL_Imagem, Fonte, ID_Categoria, ID_Autor, DataPublicacao, DataColeta) SELECT "&amp;"'"&amp;SUBSTITUTE($A70,"'","''")&amp;"'"&amp;", "&amp;IF($B70="","NULL","'"&amp;SUBSTITUTE($B70,"'","''")&amp;"'")&amp;", "&amp;"'"&amp;SUBSTITUTE($C70,"'","''")&amp;"'"&amp;", "&amp;IF($D70="","NULL","'"&amp;SUBSTITUTE($D70,"'","''")&amp;"'")&amp;", "&amp;IF($E70="","NULL","'"&amp;SUBSTITUTE($E70,"'","''")&amp;"'")&amp;", "&amp;"(SELECT ID_Categoria FROM Categorias WHERE NomeCategoria = '"&amp;SUBSTITUTE($F70,"'","''")&amp;"')"&amp;", "&amp;IF($G70="","NULL","(SELECT ID_Usuario FROM Usuario WHERE NomeUsuario = '"&amp;SUBSTITUTE($G70,"'","''")&amp;"')")&amp;", "&amp;"'"&amp;SUBSTITUTE($H70,"'","''")&amp;"'"&amp;", "&amp;IF($I70="","SYSDATETIME()","'"&amp;SUBSTITUTE($I70,"'","''")&amp;"'")&amp;" WHERE NOT EXISTS (SELECT 1 FROM Posts WHERE URL_Post = "&amp;"'"&amp;SUBSTITUTE($C70,"'","''")&amp;"'"&amp;");")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6"/>
      <c r="G71" s="26"/>
      <c r="H71" s="28"/>
      <c r="I71" s="28"/>
      <c r="K71" s="25" t="str">
        <f aca="false">IF($A71="","","INSERT INTO Posts (Titulo_Post, Resumo, URL_Post, URL_Imagem, Fonte, ID_Categoria, ID_Autor, DataPublicacao, DataColeta) SELECT "&amp;"'"&amp;SUBSTITUTE($A71,"'","''")&amp;"'"&amp;", "&amp;IF($B71="","NULL","'"&amp;SUBSTITUTE($B71,"'","''")&amp;"'")&amp;", "&amp;"'"&amp;SUBSTITUTE($C71,"'","''")&amp;"'"&amp;", "&amp;IF($D71="","NULL","'"&amp;SUBSTITUTE($D71,"'","''")&amp;"'")&amp;", "&amp;IF($E71="","NULL","'"&amp;SUBSTITUTE($E71,"'","''")&amp;"'")&amp;", "&amp;"(SELECT ID_Categoria FROM Categorias WHERE NomeCategoria = '"&amp;SUBSTITUTE($F71,"'","''")&amp;"')"&amp;", "&amp;IF($G71="","NULL","(SELECT ID_Usuario FROM Usuario WHERE NomeUsuario = '"&amp;SUBSTITUTE($G71,"'","''")&amp;"')")&amp;", "&amp;"'"&amp;SUBSTITUTE($H71,"'","''")&amp;"'"&amp;", "&amp;IF($I71="","SYSDATETIME()","'"&amp;SUBSTITUTE($I71,"'","''")&amp;"'")&amp;" WHERE NOT EXISTS (SELECT 1 FROM Posts WHERE URL_Post = "&amp;"'"&amp;SUBSTITUTE($C71,"'","''")&amp;"'"&amp;");")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6"/>
      <c r="G72" s="26"/>
      <c r="H72" s="28"/>
      <c r="I72" s="28"/>
      <c r="K72" s="25" t="str">
        <f aca="false">IF($A72="","","INSERT INTO Posts (Titulo_Post, Resumo, URL_Post, URL_Imagem, Fonte, ID_Categoria, ID_Autor, DataPublicacao, DataColeta) SELECT "&amp;"'"&amp;SUBSTITUTE($A72,"'","''")&amp;"'"&amp;", "&amp;IF($B72="","NULL","'"&amp;SUBSTITUTE($B72,"'","''")&amp;"'")&amp;", "&amp;"'"&amp;SUBSTITUTE($C72,"'","''")&amp;"'"&amp;", "&amp;IF($D72="","NULL","'"&amp;SUBSTITUTE($D72,"'","''")&amp;"'")&amp;", "&amp;IF($E72="","NULL","'"&amp;SUBSTITUTE($E72,"'","''")&amp;"'")&amp;", "&amp;"(SELECT ID_Categoria FROM Categorias WHERE NomeCategoria = '"&amp;SUBSTITUTE($F72,"'","''")&amp;"')"&amp;", "&amp;IF($G72="","NULL","(SELECT ID_Usuario FROM Usuario WHERE NomeUsuario = '"&amp;SUBSTITUTE($G72,"'","''")&amp;"')")&amp;", "&amp;"'"&amp;SUBSTITUTE($H72,"'","''")&amp;"'"&amp;", "&amp;IF($I72="","SYSDATETIME()","'"&amp;SUBSTITUTE($I72,"'","''")&amp;"'")&amp;" WHERE NOT EXISTS (SELECT 1 FROM Posts WHERE URL_Post = "&amp;"'"&amp;SUBSTITUTE($C72,"'","''")&amp;"'"&amp;");")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6"/>
      <c r="G73" s="26"/>
      <c r="H73" s="28"/>
      <c r="I73" s="28"/>
      <c r="K73" s="25" t="str">
        <f aca="false">IF($A73="","","INSERT INTO Posts (Titulo_Post, Resumo, URL_Post, URL_Imagem, Fonte, ID_Categoria, ID_Autor, DataPublicacao, DataColeta) SELECT "&amp;"'"&amp;SUBSTITUTE($A73,"'","''")&amp;"'"&amp;", "&amp;IF($B73="","NULL","'"&amp;SUBSTITUTE($B73,"'","''")&amp;"'")&amp;", "&amp;"'"&amp;SUBSTITUTE($C73,"'","''")&amp;"'"&amp;", "&amp;IF($D73="","NULL","'"&amp;SUBSTITUTE($D73,"'","''")&amp;"'")&amp;", "&amp;IF($E73="","NULL","'"&amp;SUBSTITUTE($E73,"'","''")&amp;"'")&amp;", "&amp;"(SELECT ID_Categoria FROM Categorias WHERE NomeCategoria = '"&amp;SUBSTITUTE($F73,"'","''")&amp;"')"&amp;", "&amp;IF($G73="","NULL","(SELECT ID_Usuario FROM Usuario WHERE NomeUsuario = '"&amp;SUBSTITUTE($G73,"'","''")&amp;"')")&amp;", "&amp;"'"&amp;SUBSTITUTE($H73,"'","''")&amp;"'"&amp;", "&amp;IF($I73="","SYSDATETIME()","'"&amp;SUBSTITUTE($I73,"'","''")&amp;"'")&amp;" WHERE NOT EXISTS (SELECT 1 FROM Posts WHERE URL_Post = "&amp;"'"&amp;SUBSTITUTE($C73,"'","''")&amp;"'"&amp;");")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6"/>
      <c r="G74" s="26"/>
      <c r="H74" s="28"/>
      <c r="I74" s="28"/>
      <c r="K74" s="25" t="str">
        <f aca="false">IF($A74="","","INSERT INTO Posts (Titulo_Post, Resumo, URL_Post, URL_Imagem, Fonte, ID_Categoria, ID_Autor, DataPublicacao, DataColeta) SELECT "&amp;"'"&amp;SUBSTITUTE($A74,"'","''")&amp;"'"&amp;", "&amp;IF($B74="","NULL","'"&amp;SUBSTITUTE($B74,"'","''")&amp;"'")&amp;", "&amp;"'"&amp;SUBSTITUTE($C74,"'","''")&amp;"'"&amp;", "&amp;IF($D74="","NULL","'"&amp;SUBSTITUTE($D74,"'","''")&amp;"'")&amp;", "&amp;IF($E74="","NULL","'"&amp;SUBSTITUTE($E74,"'","''")&amp;"'")&amp;", "&amp;"(SELECT ID_Categoria FROM Categorias WHERE NomeCategoria = '"&amp;SUBSTITUTE($F74,"'","''")&amp;"')"&amp;", "&amp;IF($G74="","NULL","(SELECT ID_Usuario FROM Usuario WHERE NomeUsuario = '"&amp;SUBSTITUTE($G74,"'","''")&amp;"')")&amp;", "&amp;"'"&amp;SUBSTITUTE($H74,"'","''")&amp;"'"&amp;", "&amp;IF($I74="","SYSDATETIME()","'"&amp;SUBSTITUTE($I74,"'","''")&amp;"'")&amp;" WHERE NOT EXISTS (SELECT 1 FROM Posts WHERE URL_Post = "&amp;"'"&amp;SUBSTITUTE($C74,"'","''")&amp;"'"&amp;");")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6"/>
      <c r="G75" s="26"/>
      <c r="H75" s="28"/>
      <c r="I75" s="28"/>
      <c r="K75" s="25" t="str">
        <f aca="false">IF($A75="","","INSERT INTO Posts (Titulo_Post, Resumo, URL_Post, URL_Imagem, Fonte, ID_Categoria, ID_Autor, DataPublicacao, DataColeta) SELECT "&amp;"'"&amp;SUBSTITUTE($A75,"'","''")&amp;"'"&amp;", "&amp;IF($B75="","NULL","'"&amp;SUBSTITUTE($B75,"'","''")&amp;"'")&amp;", "&amp;"'"&amp;SUBSTITUTE($C75,"'","''")&amp;"'"&amp;", "&amp;IF($D75="","NULL","'"&amp;SUBSTITUTE($D75,"'","''")&amp;"'")&amp;", "&amp;IF($E75="","NULL","'"&amp;SUBSTITUTE($E75,"'","''")&amp;"'")&amp;", "&amp;"(SELECT ID_Categoria FROM Categorias WHERE NomeCategoria = '"&amp;SUBSTITUTE($F75,"'","''")&amp;"')"&amp;", "&amp;IF($G75="","NULL","(SELECT ID_Usuario FROM Usuario WHERE NomeUsuario = '"&amp;SUBSTITUTE($G75,"'","''")&amp;"')")&amp;", "&amp;"'"&amp;SUBSTITUTE($H75,"'","''")&amp;"'"&amp;", "&amp;IF($I75="","SYSDATETIME()","'"&amp;SUBSTITUTE($I75,"'","''")&amp;"'")&amp;" WHERE NOT EXISTS (SELECT 1 FROM Posts WHERE URL_Post = "&amp;"'"&amp;SUBSTITUTE($C75,"'","''")&amp;"'"&amp;");")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6"/>
      <c r="G76" s="26"/>
      <c r="H76" s="28"/>
      <c r="I76" s="28"/>
      <c r="K76" s="25" t="str">
        <f aca="false">IF($A76="","","INSERT INTO Posts (Titulo_Post, Resumo, URL_Post, URL_Imagem, Fonte, ID_Categoria, ID_Autor, DataPublicacao, DataColeta) SELECT "&amp;"'"&amp;SUBSTITUTE($A76,"'","''")&amp;"'"&amp;", "&amp;IF($B76="","NULL","'"&amp;SUBSTITUTE($B76,"'","''")&amp;"'")&amp;", "&amp;"'"&amp;SUBSTITUTE($C76,"'","''")&amp;"'"&amp;", "&amp;IF($D76="","NULL","'"&amp;SUBSTITUTE($D76,"'","''")&amp;"'")&amp;", "&amp;IF($E76="","NULL","'"&amp;SUBSTITUTE($E76,"'","''")&amp;"'")&amp;", "&amp;"(SELECT ID_Categoria FROM Categorias WHERE NomeCategoria = '"&amp;SUBSTITUTE($F76,"'","''")&amp;"')"&amp;", "&amp;IF($G76="","NULL","(SELECT ID_Usuario FROM Usuario WHERE NomeUsuario = '"&amp;SUBSTITUTE($G76,"'","''")&amp;"')")&amp;", "&amp;"'"&amp;SUBSTITUTE($H76,"'","''")&amp;"'"&amp;", "&amp;IF($I76="","SYSDATETIME()","'"&amp;SUBSTITUTE($I76,"'","''")&amp;"'")&amp;" WHERE NOT EXISTS (SELECT 1 FROM Posts WHERE URL_Post = "&amp;"'"&amp;SUBSTITUTE($C76,"'","''")&amp;"'"&amp;");")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6"/>
      <c r="G77" s="26"/>
      <c r="H77" s="28"/>
      <c r="I77" s="28"/>
      <c r="K77" s="25" t="str">
        <f aca="false">IF($A77="","","INSERT INTO Posts (Titulo_Post, Resumo, URL_Post, URL_Imagem, Fonte, ID_Categoria, ID_Autor, DataPublicacao, DataColeta) SELECT "&amp;"'"&amp;SUBSTITUTE($A77,"'","''")&amp;"'"&amp;", "&amp;IF($B77="","NULL","'"&amp;SUBSTITUTE($B77,"'","''")&amp;"'")&amp;", "&amp;"'"&amp;SUBSTITUTE($C77,"'","''")&amp;"'"&amp;", "&amp;IF($D77="","NULL","'"&amp;SUBSTITUTE($D77,"'","''")&amp;"'")&amp;", "&amp;IF($E77="","NULL","'"&amp;SUBSTITUTE($E77,"'","''")&amp;"'")&amp;", "&amp;"(SELECT ID_Categoria FROM Categorias WHERE NomeCategoria = '"&amp;SUBSTITUTE($F77,"'","''")&amp;"')"&amp;", "&amp;IF($G77="","NULL","(SELECT ID_Usuario FROM Usuario WHERE NomeUsuario = '"&amp;SUBSTITUTE($G77,"'","''")&amp;"')")&amp;", "&amp;"'"&amp;SUBSTITUTE($H77,"'","''")&amp;"'"&amp;", "&amp;IF($I77="","SYSDATETIME()","'"&amp;SUBSTITUTE($I77,"'","''")&amp;"'")&amp;" WHERE NOT EXISTS (SELECT 1 FROM Posts WHERE URL_Post = "&amp;"'"&amp;SUBSTITUTE($C77,"'","''")&amp;"'"&amp;");")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6"/>
      <c r="G78" s="26"/>
      <c r="H78" s="28"/>
      <c r="I78" s="28"/>
      <c r="K78" s="25" t="str">
        <f aca="false">IF($A78="","","INSERT INTO Posts (Titulo_Post, Resumo, URL_Post, URL_Imagem, Fonte, ID_Categoria, ID_Autor, DataPublicacao, DataColeta) SELECT "&amp;"'"&amp;SUBSTITUTE($A78,"'","''")&amp;"'"&amp;", "&amp;IF($B78="","NULL","'"&amp;SUBSTITUTE($B78,"'","''")&amp;"'")&amp;", "&amp;"'"&amp;SUBSTITUTE($C78,"'","''")&amp;"'"&amp;", "&amp;IF($D78="","NULL","'"&amp;SUBSTITUTE($D78,"'","''")&amp;"'")&amp;", "&amp;IF($E78="","NULL","'"&amp;SUBSTITUTE($E78,"'","''")&amp;"'")&amp;", "&amp;"(SELECT ID_Categoria FROM Categorias WHERE NomeCategoria = '"&amp;SUBSTITUTE($F78,"'","''")&amp;"')"&amp;", "&amp;IF($G78="","NULL","(SELECT ID_Usuario FROM Usuario WHERE NomeUsuario = '"&amp;SUBSTITUTE($G78,"'","''")&amp;"')")&amp;", "&amp;"'"&amp;SUBSTITUTE($H78,"'","''")&amp;"'"&amp;", "&amp;IF($I78="","SYSDATETIME()","'"&amp;SUBSTITUTE($I78,"'","''")&amp;"'")&amp;" WHERE NOT EXISTS (SELECT 1 FROM Posts WHERE URL_Post = "&amp;"'"&amp;SUBSTITUTE($C78,"'","''")&amp;"'"&amp;");")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6"/>
      <c r="G79" s="26"/>
      <c r="H79" s="28"/>
      <c r="I79" s="28"/>
      <c r="K79" s="25" t="str">
        <f aca="false">IF($A79="","","INSERT INTO Posts (Titulo_Post, Resumo, URL_Post, URL_Imagem, Fonte, ID_Categoria, ID_Autor, DataPublicacao, DataColeta) SELECT "&amp;"'"&amp;SUBSTITUTE($A79,"'","''")&amp;"'"&amp;", "&amp;IF($B79="","NULL","'"&amp;SUBSTITUTE($B79,"'","''")&amp;"'")&amp;", "&amp;"'"&amp;SUBSTITUTE($C79,"'","''")&amp;"'"&amp;", "&amp;IF($D79="","NULL","'"&amp;SUBSTITUTE($D79,"'","''")&amp;"'")&amp;", "&amp;IF($E79="","NULL","'"&amp;SUBSTITUTE($E79,"'","''")&amp;"'")&amp;", "&amp;"(SELECT ID_Categoria FROM Categorias WHERE NomeCategoria = '"&amp;SUBSTITUTE($F79,"'","''")&amp;"')"&amp;", "&amp;IF($G79="","NULL","(SELECT ID_Usuario FROM Usuario WHERE NomeUsuario = '"&amp;SUBSTITUTE($G79,"'","''")&amp;"')")&amp;", "&amp;"'"&amp;SUBSTITUTE($H79,"'","''")&amp;"'"&amp;", "&amp;IF($I79="","SYSDATETIME()","'"&amp;SUBSTITUTE($I79,"'","''")&amp;"'")&amp;" WHERE NOT EXISTS (SELECT 1 FROM Posts WHERE URL_Post = "&amp;"'"&amp;SUBSTITUTE($C79,"'","''")&amp;"'"&amp;");")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6"/>
      <c r="G80" s="26"/>
      <c r="H80" s="28"/>
      <c r="I80" s="28"/>
      <c r="K80" s="25" t="str">
        <f aca="false">IF($A80="","","INSERT INTO Posts (Titulo_Post, Resumo, URL_Post, URL_Imagem, Fonte, ID_Categoria, ID_Autor, DataPublicacao, DataColeta) SELECT "&amp;"'"&amp;SUBSTITUTE($A80,"'","''")&amp;"'"&amp;", "&amp;IF($B80="","NULL","'"&amp;SUBSTITUTE($B80,"'","''")&amp;"'")&amp;", "&amp;"'"&amp;SUBSTITUTE($C80,"'","''")&amp;"'"&amp;", "&amp;IF($D80="","NULL","'"&amp;SUBSTITUTE($D80,"'","''")&amp;"'")&amp;", "&amp;IF($E80="","NULL","'"&amp;SUBSTITUTE($E80,"'","''")&amp;"'")&amp;", "&amp;"(SELECT ID_Categoria FROM Categorias WHERE NomeCategoria = '"&amp;SUBSTITUTE($F80,"'","''")&amp;"')"&amp;", "&amp;IF($G80="","NULL","(SELECT ID_Usuario FROM Usuario WHERE NomeUsuario = '"&amp;SUBSTITUTE($G80,"'","''")&amp;"')")&amp;", "&amp;"'"&amp;SUBSTITUTE($H80,"'","''")&amp;"'"&amp;", "&amp;IF($I80="","SYSDATETIME()","'"&amp;SUBSTITUTE($I80,"'","''")&amp;"'")&amp;" WHERE NOT EXISTS (SELECT 1 FROM Posts WHERE URL_Post = "&amp;"'"&amp;SUBSTITUTE($C80,"'","''")&amp;"'"&amp;");")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6"/>
      <c r="G81" s="26"/>
      <c r="H81" s="28"/>
      <c r="I81" s="28"/>
      <c r="K81" s="25" t="str">
        <f aca="false">IF($A81="","","INSERT INTO Posts (Titulo_Post, Resumo, URL_Post, URL_Imagem, Fonte, ID_Categoria, ID_Autor, DataPublicacao, DataColeta) SELECT "&amp;"'"&amp;SUBSTITUTE($A81,"'","''")&amp;"'"&amp;", "&amp;IF($B81="","NULL","'"&amp;SUBSTITUTE($B81,"'","''")&amp;"'")&amp;", "&amp;"'"&amp;SUBSTITUTE($C81,"'","''")&amp;"'"&amp;", "&amp;IF($D81="","NULL","'"&amp;SUBSTITUTE($D81,"'","''")&amp;"'")&amp;", "&amp;IF($E81="","NULL","'"&amp;SUBSTITUTE($E81,"'","''")&amp;"'")&amp;", "&amp;"(SELECT ID_Categoria FROM Categorias WHERE NomeCategoria = '"&amp;SUBSTITUTE($F81,"'","''")&amp;"')"&amp;", "&amp;IF($G81="","NULL","(SELECT ID_Usuario FROM Usuario WHERE NomeUsuario = '"&amp;SUBSTITUTE($G81,"'","''")&amp;"')")&amp;", "&amp;"'"&amp;SUBSTITUTE($H81,"'","''")&amp;"'"&amp;", "&amp;IF($I81="","SYSDATETIME()","'"&amp;SUBSTITUTE($I81,"'","''")&amp;"'")&amp;" WHERE NOT EXISTS (SELECT 1 FROM Posts WHERE URL_Post = "&amp;"'"&amp;SUBSTITUTE($C81,"'","''")&amp;"'"&amp;");")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6"/>
      <c r="G82" s="26"/>
      <c r="H82" s="28"/>
      <c r="I82" s="28"/>
      <c r="K82" s="25" t="str">
        <f aca="false">IF($A82="","","INSERT INTO Posts (Titulo_Post, Resumo, URL_Post, URL_Imagem, Fonte, ID_Categoria, ID_Autor, DataPublicacao, DataColeta) SELECT "&amp;"'"&amp;SUBSTITUTE($A82,"'","''")&amp;"'"&amp;", "&amp;IF($B82="","NULL","'"&amp;SUBSTITUTE($B82,"'","''")&amp;"'")&amp;", "&amp;"'"&amp;SUBSTITUTE($C82,"'","''")&amp;"'"&amp;", "&amp;IF($D82="","NULL","'"&amp;SUBSTITUTE($D82,"'","''")&amp;"'")&amp;", "&amp;IF($E82="","NULL","'"&amp;SUBSTITUTE($E82,"'","''")&amp;"'")&amp;", "&amp;"(SELECT ID_Categoria FROM Categorias WHERE NomeCategoria = '"&amp;SUBSTITUTE($F82,"'","''")&amp;"')"&amp;", "&amp;IF($G82="","NULL","(SELECT ID_Usuario FROM Usuario WHERE NomeUsuario = '"&amp;SUBSTITUTE($G82,"'","''")&amp;"')")&amp;", "&amp;"'"&amp;SUBSTITUTE($H82,"'","''")&amp;"'"&amp;", "&amp;IF($I82="","SYSDATETIME()","'"&amp;SUBSTITUTE($I82,"'","''")&amp;"'")&amp;" WHERE NOT EXISTS (SELECT 1 FROM Posts WHERE URL_Post = "&amp;"'"&amp;SUBSTITUTE($C82,"'","''")&amp;"'"&amp;");")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6"/>
      <c r="G83" s="26"/>
      <c r="H83" s="28"/>
      <c r="I83" s="28"/>
      <c r="K83" s="25" t="str">
        <f aca="false">IF($A83="","","INSERT INTO Posts (Titulo_Post, Resumo, URL_Post, URL_Imagem, Fonte, ID_Categoria, ID_Autor, DataPublicacao, DataColeta) SELECT "&amp;"'"&amp;SUBSTITUTE($A83,"'","''")&amp;"'"&amp;", "&amp;IF($B83="","NULL","'"&amp;SUBSTITUTE($B83,"'","''")&amp;"'")&amp;", "&amp;"'"&amp;SUBSTITUTE($C83,"'","''")&amp;"'"&amp;", "&amp;IF($D83="","NULL","'"&amp;SUBSTITUTE($D83,"'","''")&amp;"'")&amp;", "&amp;IF($E83="","NULL","'"&amp;SUBSTITUTE($E83,"'","''")&amp;"'")&amp;", "&amp;"(SELECT ID_Categoria FROM Categorias WHERE NomeCategoria = '"&amp;SUBSTITUTE($F83,"'","''")&amp;"')"&amp;", "&amp;IF($G83="","NULL","(SELECT ID_Usuario FROM Usuario WHERE NomeUsuario = '"&amp;SUBSTITUTE($G83,"'","''")&amp;"')")&amp;", "&amp;"'"&amp;SUBSTITUTE($H83,"'","''")&amp;"'"&amp;", "&amp;IF($I83="","SYSDATETIME()","'"&amp;SUBSTITUTE($I83,"'","''")&amp;"'")&amp;" WHERE NOT EXISTS (SELECT 1 FROM Posts WHERE URL_Post = "&amp;"'"&amp;SUBSTITUTE($C83,"'","''")&amp;"'"&amp;");")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6"/>
      <c r="G84" s="26"/>
      <c r="H84" s="28"/>
      <c r="I84" s="28"/>
      <c r="K84" s="25" t="str">
        <f aca="false">IF($A84="","","INSERT INTO Posts (Titulo_Post, Resumo, URL_Post, URL_Imagem, Fonte, ID_Categoria, ID_Autor, DataPublicacao, DataColeta) SELECT "&amp;"'"&amp;SUBSTITUTE($A84,"'","''")&amp;"'"&amp;", "&amp;IF($B84="","NULL","'"&amp;SUBSTITUTE($B84,"'","''")&amp;"'")&amp;", "&amp;"'"&amp;SUBSTITUTE($C84,"'","''")&amp;"'"&amp;", "&amp;IF($D84="","NULL","'"&amp;SUBSTITUTE($D84,"'","''")&amp;"'")&amp;", "&amp;IF($E84="","NULL","'"&amp;SUBSTITUTE($E84,"'","''")&amp;"'")&amp;", "&amp;"(SELECT ID_Categoria FROM Categorias WHERE NomeCategoria = '"&amp;SUBSTITUTE($F84,"'","''")&amp;"')"&amp;", "&amp;IF($G84="","NULL","(SELECT ID_Usuario FROM Usuario WHERE NomeUsuario = '"&amp;SUBSTITUTE($G84,"'","''")&amp;"')")&amp;", "&amp;"'"&amp;SUBSTITUTE($H84,"'","''")&amp;"'"&amp;", "&amp;IF($I84="","SYSDATETIME()","'"&amp;SUBSTITUTE($I84,"'","''")&amp;"'")&amp;" WHERE NOT EXISTS (SELECT 1 FROM Posts WHERE URL_Post = "&amp;"'"&amp;SUBSTITUTE($C84,"'","''")&amp;"'"&amp;");")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6"/>
      <c r="G85" s="26"/>
      <c r="H85" s="28"/>
      <c r="I85" s="28"/>
      <c r="K85" s="25" t="str">
        <f aca="false">IF($A85="","","INSERT INTO Posts (Titulo_Post, Resumo, URL_Post, URL_Imagem, Fonte, ID_Categoria, ID_Autor, DataPublicacao, DataColeta) SELECT "&amp;"'"&amp;SUBSTITUTE($A85,"'","''")&amp;"'"&amp;", "&amp;IF($B85="","NULL","'"&amp;SUBSTITUTE($B85,"'","''")&amp;"'")&amp;", "&amp;"'"&amp;SUBSTITUTE($C85,"'","''")&amp;"'"&amp;", "&amp;IF($D85="","NULL","'"&amp;SUBSTITUTE($D85,"'","''")&amp;"'")&amp;", "&amp;IF($E85="","NULL","'"&amp;SUBSTITUTE($E85,"'","''")&amp;"'")&amp;", "&amp;"(SELECT ID_Categoria FROM Categorias WHERE NomeCategoria = '"&amp;SUBSTITUTE($F85,"'","''")&amp;"')"&amp;", "&amp;IF($G85="","NULL","(SELECT ID_Usuario FROM Usuario WHERE NomeUsuario = '"&amp;SUBSTITUTE($G85,"'","''")&amp;"')")&amp;", "&amp;"'"&amp;SUBSTITUTE($H85,"'","''")&amp;"'"&amp;", "&amp;IF($I85="","SYSDATETIME()","'"&amp;SUBSTITUTE($I85,"'","''")&amp;"'")&amp;" WHERE NOT EXISTS (SELECT 1 FROM Posts WHERE URL_Post = "&amp;"'"&amp;SUBSTITUTE($C85,"'","''")&amp;"'"&amp;");")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6"/>
      <c r="G86" s="26"/>
      <c r="H86" s="28"/>
      <c r="I86" s="28"/>
      <c r="K86" s="25" t="str">
        <f aca="false">IF($A86="","","INSERT INTO Posts (Titulo_Post, Resumo, URL_Post, URL_Imagem, Fonte, ID_Categoria, ID_Autor, DataPublicacao, DataColeta) SELECT "&amp;"'"&amp;SUBSTITUTE($A86,"'","''")&amp;"'"&amp;", "&amp;IF($B86="","NULL","'"&amp;SUBSTITUTE($B86,"'","''")&amp;"'")&amp;", "&amp;"'"&amp;SUBSTITUTE($C86,"'","''")&amp;"'"&amp;", "&amp;IF($D86="","NULL","'"&amp;SUBSTITUTE($D86,"'","''")&amp;"'")&amp;", "&amp;IF($E86="","NULL","'"&amp;SUBSTITUTE($E86,"'","''")&amp;"'")&amp;", "&amp;"(SELECT ID_Categoria FROM Categorias WHERE NomeCategoria = '"&amp;SUBSTITUTE($F86,"'","''")&amp;"')"&amp;", "&amp;IF($G86="","NULL","(SELECT ID_Usuario FROM Usuario WHERE NomeUsuario = '"&amp;SUBSTITUTE($G86,"'","''")&amp;"')")&amp;", "&amp;"'"&amp;SUBSTITUTE($H86,"'","''")&amp;"'"&amp;", "&amp;IF($I86="","SYSDATETIME()","'"&amp;SUBSTITUTE($I86,"'","''")&amp;"'")&amp;" WHERE NOT EXISTS (SELECT 1 FROM Posts WHERE URL_Post = "&amp;"'"&amp;SUBSTITUTE($C86,"'","''")&amp;"'"&amp;");")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6"/>
      <c r="G87" s="26"/>
      <c r="H87" s="28"/>
      <c r="I87" s="28"/>
      <c r="K87" s="25" t="str">
        <f aca="false">IF($A87="","","INSERT INTO Posts (Titulo_Post, Resumo, URL_Post, URL_Imagem, Fonte, ID_Categoria, ID_Autor, DataPublicacao, DataColeta) SELECT "&amp;"'"&amp;SUBSTITUTE($A87,"'","''")&amp;"'"&amp;", "&amp;IF($B87="","NULL","'"&amp;SUBSTITUTE($B87,"'","''")&amp;"'")&amp;", "&amp;"'"&amp;SUBSTITUTE($C87,"'","''")&amp;"'"&amp;", "&amp;IF($D87="","NULL","'"&amp;SUBSTITUTE($D87,"'","''")&amp;"'")&amp;", "&amp;IF($E87="","NULL","'"&amp;SUBSTITUTE($E87,"'","''")&amp;"'")&amp;", "&amp;"(SELECT ID_Categoria FROM Categorias WHERE NomeCategoria = '"&amp;SUBSTITUTE($F87,"'","''")&amp;"')"&amp;", "&amp;IF($G87="","NULL","(SELECT ID_Usuario FROM Usuario WHERE NomeUsuario = '"&amp;SUBSTITUTE($G87,"'","''")&amp;"')")&amp;", "&amp;"'"&amp;SUBSTITUTE($H87,"'","''")&amp;"'"&amp;", "&amp;IF($I87="","SYSDATETIME()","'"&amp;SUBSTITUTE($I87,"'","''")&amp;"'")&amp;" WHERE NOT EXISTS (SELECT 1 FROM Posts WHERE URL_Post = "&amp;"'"&amp;SUBSTITUTE($C87,"'","''")&amp;"'"&amp;");")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6"/>
      <c r="G88" s="26"/>
      <c r="H88" s="28"/>
      <c r="I88" s="28"/>
      <c r="K88" s="25" t="str">
        <f aca="false">IF($A88="","","INSERT INTO Posts (Titulo_Post, Resumo, URL_Post, URL_Imagem, Fonte, ID_Categoria, ID_Autor, DataPublicacao, DataColeta) SELECT "&amp;"'"&amp;SUBSTITUTE($A88,"'","''")&amp;"'"&amp;", "&amp;IF($B88="","NULL","'"&amp;SUBSTITUTE($B88,"'","''")&amp;"'")&amp;", "&amp;"'"&amp;SUBSTITUTE($C88,"'","''")&amp;"'"&amp;", "&amp;IF($D88="","NULL","'"&amp;SUBSTITUTE($D88,"'","''")&amp;"'")&amp;", "&amp;IF($E88="","NULL","'"&amp;SUBSTITUTE($E88,"'","''")&amp;"'")&amp;", "&amp;"(SELECT ID_Categoria FROM Categorias WHERE NomeCategoria = '"&amp;SUBSTITUTE($F88,"'","''")&amp;"')"&amp;", "&amp;IF($G88="","NULL","(SELECT ID_Usuario FROM Usuario WHERE NomeUsuario = '"&amp;SUBSTITUTE($G88,"'","''")&amp;"')")&amp;", "&amp;"'"&amp;SUBSTITUTE($H88,"'","''")&amp;"'"&amp;", "&amp;IF($I88="","SYSDATETIME()","'"&amp;SUBSTITUTE($I88,"'","''")&amp;"'")&amp;" WHERE NOT EXISTS (SELECT 1 FROM Posts WHERE URL_Post = "&amp;"'"&amp;SUBSTITUTE($C88,"'","''")&amp;"'"&amp;");")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6"/>
      <c r="G89" s="26"/>
      <c r="H89" s="28"/>
      <c r="I89" s="28"/>
      <c r="K89" s="25" t="str">
        <f aca="false">IF($A89="","","INSERT INTO Posts (Titulo_Post, Resumo, URL_Post, URL_Imagem, Fonte, ID_Categoria, ID_Autor, DataPublicacao, DataColeta) SELECT "&amp;"'"&amp;SUBSTITUTE($A89,"'","''")&amp;"'"&amp;", "&amp;IF($B89="","NULL","'"&amp;SUBSTITUTE($B89,"'","''")&amp;"'")&amp;", "&amp;"'"&amp;SUBSTITUTE($C89,"'","''")&amp;"'"&amp;", "&amp;IF($D89="","NULL","'"&amp;SUBSTITUTE($D89,"'","''")&amp;"'")&amp;", "&amp;IF($E89="","NULL","'"&amp;SUBSTITUTE($E89,"'","''")&amp;"'")&amp;", "&amp;"(SELECT ID_Categoria FROM Categorias WHERE NomeCategoria = '"&amp;SUBSTITUTE($F89,"'","''")&amp;"')"&amp;", "&amp;IF($G89="","NULL","(SELECT ID_Usuario FROM Usuario WHERE NomeUsuario = '"&amp;SUBSTITUTE($G89,"'","''")&amp;"')")&amp;", "&amp;"'"&amp;SUBSTITUTE($H89,"'","''")&amp;"'"&amp;", "&amp;IF($I89="","SYSDATETIME()","'"&amp;SUBSTITUTE($I89,"'","''")&amp;"'")&amp;" WHERE NOT EXISTS (SELECT 1 FROM Posts WHERE URL_Post = "&amp;"'"&amp;SUBSTITUTE($C89,"'","''")&amp;"'"&amp;");")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6"/>
      <c r="G90" s="26"/>
      <c r="H90" s="28"/>
      <c r="I90" s="28"/>
      <c r="K90" s="25" t="str">
        <f aca="false">IF($A90="","","INSERT INTO Posts (Titulo_Post, Resumo, URL_Post, URL_Imagem, Fonte, ID_Categoria, ID_Autor, DataPublicacao, DataColeta) SELECT "&amp;"'"&amp;SUBSTITUTE($A90,"'","''")&amp;"'"&amp;", "&amp;IF($B90="","NULL","'"&amp;SUBSTITUTE($B90,"'","''")&amp;"'")&amp;", "&amp;"'"&amp;SUBSTITUTE($C90,"'","''")&amp;"'"&amp;", "&amp;IF($D90="","NULL","'"&amp;SUBSTITUTE($D90,"'","''")&amp;"'")&amp;", "&amp;IF($E90="","NULL","'"&amp;SUBSTITUTE($E90,"'","''")&amp;"'")&amp;", "&amp;"(SELECT ID_Categoria FROM Categorias WHERE NomeCategoria = '"&amp;SUBSTITUTE($F90,"'","''")&amp;"')"&amp;", "&amp;IF($G90="","NULL","(SELECT ID_Usuario FROM Usuario WHERE NomeUsuario = '"&amp;SUBSTITUTE($G90,"'","''")&amp;"')")&amp;", "&amp;"'"&amp;SUBSTITUTE($H90,"'","''")&amp;"'"&amp;", "&amp;IF($I90="","SYSDATETIME()","'"&amp;SUBSTITUTE($I90,"'","''")&amp;"'")&amp;" WHERE NOT EXISTS (SELECT 1 FROM Posts WHERE URL_Post = "&amp;"'"&amp;SUBSTITUTE($C90,"'","''")&amp;"'"&amp;");")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6"/>
      <c r="G91" s="26"/>
      <c r="H91" s="28"/>
      <c r="I91" s="28"/>
      <c r="K91" s="25" t="str">
        <f aca="false">IF($A91="","","INSERT INTO Posts (Titulo_Post, Resumo, URL_Post, URL_Imagem, Fonte, ID_Categoria, ID_Autor, DataPublicacao, DataColeta) SELECT "&amp;"'"&amp;SUBSTITUTE($A91,"'","''")&amp;"'"&amp;", "&amp;IF($B91="","NULL","'"&amp;SUBSTITUTE($B91,"'","''")&amp;"'")&amp;", "&amp;"'"&amp;SUBSTITUTE($C91,"'","''")&amp;"'"&amp;", "&amp;IF($D91="","NULL","'"&amp;SUBSTITUTE($D91,"'","''")&amp;"'")&amp;", "&amp;IF($E91="","NULL","'"&amp;SUBSTITUTE($E91,"'","''")&amp;"'")&amp;", "&amp;"(SELECT ID_Categoria FROM Categorias WHERE NomeCategoria = '"&amp;SUBSTITUTE($F91,"'","''")&amp;"')"&amp;", "&amp;IF($G91="","NULL","(SELECT ID_Usuario FROM Usuario WHERE NomeUsuario = '"&amp;SUBSTITUTE($G91,"'","''")&amp;"')")&amp;", "&amp;"'"&amp;SUBSTITUTE($H91,"'","''")&amp;"'"&amp;", "&amp;IF($I91="","SYSDATETIME()","'"&amp;SUBSTITUTE($I91,"'","''")&amp;"'")&amp;" WHERE NOT EXISTS (SELECT 1 FROM Posts WHERE URL_Post = "&amp;"'"&amp;SUBSTITUTE($C91,"'","''")&amp;"'"&amp;");")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6"/>
      <c r="G92" s="26"/>
      <c r="H92" s="28"/>
      <c r="I92" s="28"/>
      <c r="K92" s="25" t="str">
        <f aca="false">IF($A92="","","INSERT INTO Posts (Titulo_Post, Resumo, URL_Post, URL_Imagem, Fonte, ID_Categoria, ID_Autor, DataPublicacao, DataColeta) SELECT "&amp;"'"&amp;SUBSTITUTE($A92,"'","''")&amp;"'"&amp;", "&amp;IF($B92="","NULL","'"&amp;SUBSTITUTE($B92,"'","''")&amp;"'")&amp;", "&amp;"'"&amp;SUBSTITUTE($C92,"'","''")&amp;"'"&amp;", "&amp;IF($D92="","NULL","'"&amp;SUBSTITUTE($D92,"'","''")&amp;"'")&amp;", "&amp;IF($E92="","NULL","'"&amp;SUBSTITUTE($E92,"'","''")&amp;"'")&amp;", "&amp;"(SELECT ID_Categoria FROM Categorias WHERE NomeCategoria = '"&amp;SUBSTITUTE($F92,"'","''")&amp;"')"&amp;", "&amp;IF($G92="","NULL","(SELECT ID_Usuario FROM Usuario WHERE NomeUsuario = '"&amp;SUBSTITUTE($G92,"'","''")&amp;"')")&amp;", "&amp;"'"&amp;SUBSTITUTE($H92,"'","''")&amp;"'"&amp;", "&amp;IF($I92="","SYSDATETIME()","'"&amp;SUBSTITUTE($I92,"'","''")&amp;"'")&amp;" WHERE NOT EXISTS (SELECT 1 FROM Posts WHERE URL_Post = "&amp;"'"&amp;SUBSTITUTE($C92,"'","''")&amp;"'"&amp;");")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6"/>
      <c r="G93" s="26"/>
      <c r="H93" s="28"/>
      <c r="I93" s="28"/>
      <c r="K93" s="25" t="str">
        <f aca="false">IF($A93="","","INSERT INTO Posts (Titulo_Post, Resumo, URL_Post, URL_Imagem, Fonte, ID_Categoria, ID_Autor, DataPublicacao, DataColeta) SELECT "&amp;"'"&amp;SUBSTITUTE($A93,"'","''")&amp;"'"&amp;", "&amp;IF($B93="","NULL","'"&amp;SUBSTITUTE($B93,"'","''")&amp;"'")&amp;", "&amp;"'"&amp;SUBSTITUTE($C93,"'","''")&amp;"'"&amp;", "&amp;IF($D93="","NULL","'"&amp;SUBSTITUTE($D93,"'","''")&amp;"'")&amp;", "&amp;IF($E93="","NULL","'"&amp;SUBSTITUTE($E93,"'","''")&amp;"'")&amp;", "&amp;"(SELECT ID_Categoria FROM Categorias WHERE NomeCategoria = '"&amp;SUBSTITUTE($F93,"'","''")&amp;"')"&amp;", "&amp;IF($G93="","NULL","(SELECT ID_Usuario FROM Usuario WHERE NomeUsuario = '"&amp;SUBSTITUTE($G93,"'","''")&amp;"')")&amp;", "&amp;"'"&amp;SUBSTITUTE($H93,"'","''")&amp;"'"&amp;", "&amp;IF($I93="","SYSDATETIME()","'"&amp;SUBSTITUTE($I93,"'","''")&amp;"'")&amp;" WHERE NOT EXISTS (SELECT 1 FROM Posts WHERE URL_Post = "&amp;"'"&amp;SUBSTITUTE($C93,"'","''")&amp;"'"&amp;");")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6"/>
      <c r="G94" s="26"/>
      <c r="H94" s="28"/>
      <c r="I94" s="28"/>
      <c r="K94" s="25" t="str">
        <f aca="false">IF($A94="","","INSERT INTO Posts (Titulo_Post, Resumo, URL_Post, URL_Imagem, Fonte, ID_Categoria, ID_Autor, DataPublicacao, DataColeta) SELECT "&amp;"'"&amp;SUBSTITUTE($A94,"'","''")&amp;"'"&amp;", "&amp;IF($B94="","NULL","'"&amp;SUBSTITUTE($B94,"'","''")&amp;"'")&amp;", "&amp;"'"&amp;SUBSTITUTE($C94,"'","''")&amp;"'"&amp;", "&amp;IF($D94="","NULL","'"&amp;SUBSTITUTE($D94,"'","''")&amp;"'")&amp;", "&amp;IF($E94="","NULL","'"&amp;SUBSTITUTE($E94,"'","''")&amp;"'")&amp;", "&amp;"(SELECT ID_Categoria FROM Categorias WHERE NomeCategoria = '"&amp;SUBSTITUTE($F94,"'","''")&amp;"')"&amp;", "&amp;IF($G94="","NULL","(SELECT ID_Usuario FROM Usuario WHERE NomeUsuario = '"&amp;SUBSTITUTE($G94,"'","''")&amp;"')")&amp;", "&amp;"'"&amp;SUBSTITUTE($H94,"'","''")&amp;"'"&amp;", "&amp;IF($I94="","SYSDATETIME()","'"&amp;SUBSTITUTE($I94,"'","''")&amp;"'")&amp;" WHERE NOT EXISTS (SELECT 1 FROM Posts WHERE URL_Post = "&amp;"'"&amp;SUBSTITUTE($C94,"'","''")&amp;"'"&amp;");")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6"/>
      <c r="G95" s="26"/>
      <c r="H95" s="28"/>
      <c r="I95" s="28"/>
      <c r="K95" s="25" t="str">
        <f aca="false">IF($A95="","","INSERT INTO Posts (Titulo_Post, Resumo, URL_Post, URL_Imagem, Fonte, ID_Categoria, ID_Autor, DataPublicacao, DataColeta) SELECT "&amp;"'"&amp;SUBSTITUTE($A95,"'","''")&amp;"'"&amp;", "&amp;IF($B95="","NULL","'"&amp;SUBSTITUTE($B95,"'","''")&amp;"'")&amp;", "&amp;"'"&amp;SUBSTITUTE($C95,"'","''")&amp;"'"&amp;", "&amp;IF($D95="","NULL","'"&amp;SUBSTITUTE($D95,"'","''")&amp;"'")&amp;", "&amp;IF($E95="","NULL","'"&amp;SUBSTITUTE($E95,"'","''")&amp;"'")&amp;", "&amp;"(SELECT ID_Categoria FROM Categorias WHERE NomeCategoria = '"&amp;SUBSTITUTE($F95,"'","''")&amp;"')"&amp;", "&amp;IF($G95="","NULL","(SELECT ID_Usuario FROM Usuario WHERE NomeUsuario = '"&amp;SUBSTITUTE($G95,"'","''")&amp;"')")&amp;", "&amp;"'"&amp;SUBSTITUTE($H95,"'","''")&amp;"'"&amp;", "&amp;IF($I95="","SYSDATETIME()","'"&amp;SUBSTITUTE($I95,"'","''")&amp;"'")&amp;" WHERE NOT EXISTS (SELECT 1 FROM Posts WHERE URL_Post = "&amp;"'"&amp;SUBSTITUTE($C95,"'","''")&amp;"'"&amp;");")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6"/>
      <c r="G96" s="26"/>
      <c r="H96" s="28"/>
      <c r="I96" s="28"/>
      <c r="K96" s="25" t="str">
        <f aca="false">IF($A96="","","INSERT INTO Posts (Titulo_Post, Resumo, URL_Post, URL_Imagem, Fonte, ID_Categoria, ID_Autor, DataPublicacao, DataColeta) SELECT "&amp;"'"&amp;SUBSTITUTE($A96,"'","''")&amp;"'"&amp;", "&amp;IF($B96="","NULL","'"&amp;SUBSTITUTE($B96,"'","''")&amp;"'")&amp;", "&amp;"'"&amp;SUBSTITUTE($C96,"'","''")&amp;"'"&amp;", "&amp;IF($D96="","NULL","'"&amp;SUBSTITUTE($D96,"'","''")&amp;"'")&amp;", "&amp;IF($E96="","NULL","'"&amp;SUBSTITUTE($E96,"'","''")&amp;"'")&amp;", "&amp;"(SELECT ID_Categoria FROM Categorias WHERE NomeCategoria = '"&amp;SUBSTITUTE($F96,"'","''")&amp;"')"&amp;", "&amp;IF($G96="","NULL","(SELECT ID_Usuario FROM Usuario WHERE NomeUsuario = '"&amp;SUBSTITUTE($G96,"'","''")&amp;"')")&amp;", "&amp;"'"&amp;SUBSTITUTE($H96,"'","''")&amp;"'"&amp;", "&amp;IF($I96="","SYSDATETIME()","'"&amp;SUBSTITUTE($I96,"'","''")&amp;"'")&amp;" WHERE NOT EXISTS (SELECT 1 FROM Posts WHERE URL_Post = "&amp;"'"&amp;SUBSTITUTE($C96,"'","''")&amp;"'"&amp;");")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6"/>
      <c r="G97" s="26"/>
      <c r="H97" s="28"/>
      <c r="I97" s="28"/>
      <c r="K97" s="25" t="str">
        <f aca="false">IF($A97="","","INSERT INTO Posts (Titulo_Post, Resumo, URL_Post, URL_Imagem, Fonte, ID_Categoria, ID_Autor, DataPublicacao, DataColeta) SELECT "&amp;"'"&amp;SUBSTITUTE($A97,"'","''")&amp;"'"&amp;", "&amp;IF($B97="","NULL","'"&amp;SUBSTITUTE($B97,"'","''")&amp;"'")&amp;", "&amp;"'"&amp;SUBSTITUTE($C97,"'","''")&amp;"'"&amp;", "&amp;IF($D97="","NULL","'"&amp;SUBSTITUTE($D97,"'","''")&amp;"'")&amp;", "&amp;IF($E97="","NULL","'"&amp;SUBSTITUTE($E97,"'","''")&amp;"'")&amp;", "&amp;"(SELECT ID_Categoria FROM Categorias WHERE NomeCategoria = '"&amp;SUBSTITUTE($F97,"'","''")&amp;"')"&amp;", "&amp;IF($G97="","NULL","(SELECT ID_Usuario FROM Usuario WHERE NomeUsuario = '"&amp;SUBSTITUTE($G97,"'","''")&amp;"')")&amp;", "&amp;"'"&amp;SUBSTITUTE($H97,"'","''")&amp;"'"&amp;", "&amp;IF($I97="","SYSDATETIME()","'"&amp;SUBSTITUTE($I97,"'","''")&amp;"'")&amp;" WHERE NOT EXISTS (SELECT 1 FROM Posts WHERE URL_Post = "&amp;"'"&amp;SUBSTITUTE($C97,"'","''")&amp;"'"&amp;");")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6"/>
      <c r="G98" s="26"/>
      <c r="H98" s="28"/>
      <c r="I98" s="28"/>
      <c r="K98" s="25" t="str">
        <f aca="false">IF($A98="","","INSERT INTO Posts (Titulo_Post, Resumo, URL_Post, URL_Imagem, Fonte, ID_Categoria, ID_Autor, DataPublicacao, DataColeta) SELECT "&amp;"'"&amp;SUBSTITUTE($A98,"'","''")&amp;"'"&amp;", "&amp;IF($B98="","NULL","'"&amp;SUBSTITUTE($B98,"'","''")&amp;"'")&amp;", "&amp;"'"&amp;SUBSTITUTE($C98,"'","''")&amp;"'"&amp;", "&amp;IF($D98="","NULL","'"&amp;SUBSTITUTE($D98,"'","''")&amp;"'")&amp;", "&amp;IF($E98="","NULL","'"&amp;SUBSTITUTE($E98,"'","''")&amp;"'")&amp;", "&amp;"(SELECT ID_Categoria FROM Categorias WHERE NomeCategoria = '"&amp;SUBSTITUTE($F98,"'","''")&amp;"')"&amp;", "&amp;IF($G98="","NULL","(SELECT ID_Usuario FROM Usuario WHERE NomeUsuario = '"&amp;SUBSTITUTE($G98,"'","''")&amp;"')")&amp;", "&amp;"'"&amp;SUBSTITUTE($H98,"'","''")&amp;"'"&amp;", "&amp;IF($I98="","SYSDATETIME()","'"&amp;SUBSTITUTE($I98,"'","''")&amp;"'")&amp;" WHERE NOT EXISTS (SELECT 1 FROM Posts WHERE URL_Post = "&amp;"'"&amp;SUBSTITUTE($C98,"'","''")&amp;"'"&amp;");")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6"/>
      <c r="G99" s="26"/>
      <c r="H99" s="28"/>
      <c r="I99" s="28"/>
      <c r="K99" s="25" t="str">
        <f aca="false">IF($A99="","","INSERT INTO Posts (Titulo_Post, Resumo, URL_Post, URL_Imagem, Fonte, ID_Categoria, ID_Autor, DataPublicacao, DataColeta) SELECT "&amp;"'"&amp;SUBSTITUTE($A99,"'","''")&amp;"'"&amp;", "&amp;IF($B99="","NULL","'"&amp;SUBSTITUTE($B99,"'","''")&amp;"'")&amp;", "&amp;"'"&amp;SUBSTITUTE($C99,"'","''")&amp;"'"&amp;", "&amp;IF($D99="","NULL","'"&amp;SUBSTITUTE($D99,"'","''")&amp;"'")&amp;", "&amp;IF($E99="","NULL","'"&amp;SUBSTITUTE($E99,"'","''")&amp;"'")&amp;", "&amp;"(SELECT ID_Categoria FROM Categorias WHERE NomeCategoria = '"&amp;SUBSTITUTE($F99,"'","''")&amp;"')"&amp;", "&amp;IF($G99="","NULL","(SELECT ID_Usuario FROM Usuario WHERE NomeUsuario = '"&amp;SUBSTITUTE($G99,"'","''")&amp;"')")&amp;", "&amp;"'"&amp;SUBSTITUTE($H99,"'","''")&amp;"'"&amp;", "&amp;IF($I99="","SYSDATETIME()","'"&amp;SUBSTITUTE($I99,"'","''")&amp;"'")&amp;" WHERE NOT EXISTS (SELECT 1 FROM Posts WHERE URL_Post = "&amp;"'"&amp;SUBSTITUTE($C99,"'","''")&amp;"'"&amp;");")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6"/>
      <c r="G100" s="26"/>
      <c r="H100" s="28"/>
      <c r="I100" s="28"/>
      <c r="K100" s="25" t="str">
        <f aca="false">IF($A100="","","INSERT INTO Posts (Titulo_Post, Resumo, URL_Post, URL_Imagem, Fonte, ID_Categoria, ID_Autor, DataPublicacao, DataColeta) SELECT "&amp;"'"&amp;SUBSTITUTE($A100,"'","''")&amp;"'"&amp;", "&amp;IF($B100="","NULL","'"&amp;SUBSTITUTE($B100,"'","''")&amp;"'")&amp;", "&amp;"'"&amp;SUBSTITUTE($C100,"'","''")&amp;"'"&amp;", "&amp;IF($D100="","NULL","'"&amp;SUBSTITUTE($D100,"'","''")&amp;"'")&amp;", "&amp;IF($E100="","NULL","'"&amp;SUBSTITUTE($E100,"'","''")&amp;"'")&amp;", "&amp;"(SELECT ID_Categoria FROM Categorias WHERE NomeCategoria = '"&amp;SUBSTITUTE($F100,"'","''")&amp;"')"&amp;", "&amp;IF($G100="","NULL","(SELECT ID_Usuario FROM Usuario WHERE NomeUsuario = '"&amp;SUBSTITUTE($G100,"'","''")&amp;"')")&amp;", "&amp;"'"&amp;SUBSTITUTE($H100,"'","''")&amp;"'"&amp;", "&amp;IF($I100="","SYSDATETIME()","'"&amp;SUBSTITUTE($I100,"'","''")&amp;"'")&amp;" WHERE NOT EXISTS (SELECT 1 FROM Posts WHERE URL_Post = "&amp;"'"&amp;SUBSTITUTE($C100,"'","''")&amp;"'"&amp;");")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6"/>
      <c r="G101" s="26"/>
      <c r="H101" s="28"/>
      <c r="I101" s="28"/>
      <c r="K101" s="25" t="str">
        <f aca="false">IF($A101="","","INSERT INTO Posts (Titulo_Post, Resumo, URL_Post, URL_Imagem, Fonte, ID_Categoria, ID_Autor, DataPublicacao, DataColeta) SELECT "&amp;"'"&amp;SUBSTITUTE($A101,"'","''")&amp;"'"&amp;", "&amp;IF($B101="","NULL","'"&amp;SUBSTITUTE($B101,"'","''")&amp;"'")&amp;", "&amp;"'"&amp;SUBSTITUTE($C101,"'","''")&amp;"'"&amp;", "&amp;IF($D101="","NULL","'"&amp;SUBSTITUTE($D101,"'","''")&amp;"'")&amp;", "&amp;IF($E101="","NULL","'"&amp;SUBSTITUTE($E101,"'","''")&amp;"'")&amp;", "&amp;"(SELECT ID_Categoria FROM Categorias WHERE NomeCategoria = '"&amp;SUBSTITUTE($F101,"'","''")&amp;"')"&amp;", "&amp;IF($G101="","NULL","(SELECT ID_Usuario FROM Usuario WHERE NomeUsuario = '"&amp;SUBSTITUTE($G101,"'","''")&amp;"')")&amp;", "&amp;"'"&amp;SUBSTITUTE($H101,"'","''")&amp;"'"&amp;", "&amp;IF($I101="","SYSDATETIME()","'"&amp;SUBSTITUTE($I101,"'","''")&amp;"'")&amp;" WHERE NOT EXISTS (SELECT 1 FROM Posts WHERE URL_Post = "&amp;"'"&amp;SUBSTITUTE($C101,"'","''")&amp;"'"&amp;");")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6"/>
      <c r="G102" s="26"/>
      <c r="H102" s="28"/>
      <c r="I102" s="28"/>
      <c r="K102" s="25" t="str">
        <f aca="false">IF($A102="","","INSERT INTO Posts (Titulo_Post, Resumo, URL_Post, URL_Imagem, Fonte, ID_Categoria, ID_Autor, DataPublicacao, DataColeta) SELECT "&amp;"'"&amp;SUBSTITUTE($A102,"'","''")&amp;"'"&amp;", "&amp;IF($B102="","NULL","'"&amp;SUBSTITUTE($B102,"'","''")&amp;"'")&amp;", "&amp;"'"&amp;SUBSTITUTE($C102,"'","''")&amp;"'"&amp;", "&amp;IF($D102="","NULL","'"&amp;SUBSTITUTE($D102,"'","''")&amp;"'")&amp;", "&amp;IF($E102="","NULL","'"&amp;SUBSTITUTE($E102,"'","''")&amp;"'")&amp;", "&amp;"(SELECT ID_Categoria FROM Categorias WHERE NomeCategoria = '"&amp;SUBSTITUTE($F102,"'","''")&amp;"')"&amp;", "&amp;IF($G102="","NULL","(SELECT ID_Usuario FROM Usuario WHERE NomeUsuario = '"&amp;SUBSTITUTE($G102,"'","''")&amp;"')")&amp;", "&amp;"'"&amp;SUBSTITUTE($H102,"'","''")&amp;"'"&amp;", "&amp;IF($I102="","SYSDATETIME()","'"&amp;SUBSTITUTE($I102,"'","''")&amp;"'")&amp;" WHERE NOT EXISTS (SELECT 1 FROM Posts WHERE URL_Post = "&amp;"'"&amp;SUBSTITUTE($C102,"'","''")&amp;"'"&amp;");")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6"/>
      <c r="G103" s="26"/>
      <c r="H103" s="28"/>
      <c r="I103" s="28"/>
      <c r="K103" s="25" t="str">
        <f aca="false">IF($A103="","","INSERT INTO Posts (Titulo_Post, Resumo, URL_Post, URL_Imagem, Fonte, ID_Categoria, ID_Autor, DataPublicacao, DataColeta) SELECT "&amp;"'"&amp;SUBSTITUTE($A103,"'","''")&amp;"'"&amp;", "&amp;IF($B103="","NULL","'"&amp;SUBSTITUTE($B103,"'","''")&amp;"'")&amp;", "&amp;"'"&amp;SUBSTITUTE($C103,"'","''")&amp;"'"&amp;", "&amp;IF($D103="","NULL","'"&amp;SUBSTITUTE($D103,"'","''")&amp;"'")&amp;", "&amp;IF($E103="","NULL","'"&amp;SUBSTITUTE($E103,"'","''")&amp;"'")&amp;", "&amp;"(SELECT ID_Categoria FROM Categorias WHERE NomeCategoria = '"&amp;SUBSTITUTE($F103,"'","''")&amp;"')"&amp;", "&amp;IF($G103="","NULL","(SELECT ID_Usuario FROM Usuario WHERE NomeUsuario = '"&amp;SUBSTITUTE($G103,"'","''")&amp;"')")&amp;", "&amp;"'"&amp;SUBSTITUTE($H103,"'","''")&amp;"'"&amp;", "&amp;IF($I103="","SYSDATETIME()","'"&amp;SUBSTITUTE($I103,"'","''")&amp;"'")&amp;" WHERE NOT EXISTS (SELECT 1 FROM Posts WHERE URL_Post = "&amp;"'"&amp;SUBSTITUTE($C103,"'","''")&amp;"'"&amp;");")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6"/>
      <c r="G104" s="26"/>
      <c r="H104" s="28"/>
      <c r="I104" s="28"/>
      <c r="K104" s="25" t="str">
        <f aca="false">IF($A104="","","INSERT INTO Posts (Titulo_Post, Resumo, URL_Post, URL_Imagem, Fonte, ID_Categoria, ID_Autor, DataPublicacao, DataColeta) SELECT "&amp;"'"&amp;SUBSTITUTE($A104,"'","''")&amp;"'"&amp;", "&amp;IF($B104="","NULL","'"&amp;SUBSTITUTE($B104,"'","''")&amp;"'")&amp;", "&amp;"'"&amp;SUBSTITUTE($C104,"'","''")&amp;"'"&amp;", "&amp;IF($D104="","NULL","'"&amp;SUBSTITUTE($D104,"'","''")&amp;"'")&amp;", "&amp;IF($E104="","NULL","'"&amp;SUBSTITUTE($E104,"'","''")&amp;"'")&amp;", "&amp;"(SELECT ID_Categoria FROM Categorias WHERE NomeCategoria = '"&amp;SUBSTITUTE($F104,"'","''")&amp;"')"&amp;", "&amp;IF($G104="","NULL","(SELECT ID_Usuario FROM Usuario WHERE NomeUsuario = '"&amp;SUBSTITUTE($G104,"'","''")&amp;"')")&amp;", "&amp;"'"&amp;SUBSTITUTE($H104,"'","''")&amp;"'"&amp;", "&amp;IF($I104="","SYSDATETIME()","'"&amp;SUBSTITUTE($I104,"'","''")&amp;"'")&amp;" WHERE NOT EXISTS (SELECT 1 FROM Posts WHERE URL_Post = "&amp;"'"&amp;SUBSTITUTE($C104,"'","''")&amp;"'"&amp;");")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6"/>
      <c r="G105" s="26"/>
      <c r="H105" s="28"/>
      <c r="I105" s="28"/>
      <c r="K105" s="25" t="str">
        <f aca="false">IF($A105="","","INSERT INTO Posts (Titulo_Post, Resumo, URL_Post, URL_Imagem, Fonte, ID_Categoria, ID_Autor, DataPublicacao, DataColeta) SELECT "&amp;"'"&amp;SUBSTITUTE($A105,"'","''")&amp;"'"&amp;", "&amp;IF($B105="","NULL","'"&amp;SUBSTITUTE($B105,"'","''")&amp;"'")&amp;", "&amp;"'"&amp;SUBSTITUTE($C105,"'","''")&amp;"'"&amp;", "&amp;IF($D105="","NULL","'"&amp;SUBSTITUTE($D105,"'","''")&amp;"'")&amp;", "&amp;IF($E105="","NULL","'"&amp;SUBSTITUTE($E105,"'","''")&amp;"'")&amp;", "&amp;"(SELECT ID_Categoria FROM Categorias WHERE NomeCategoria = '"&amp;SUBSTITUTE($F105,"'","''")&amp;"')"&amp;", "&amp;IF($G105="","NULL","(SELECT ID_Usuario FROM Usuario WHERE NomeUsuario = '"&amp;SUBSTITUTE($G105,"'","''")&amp;"')")&amp;", "&amp;"'"&amp;SUBSTITUTE($H105,"'","''")&amp;"'"&amp;", "&amp;IF($I105="","SYSDATETIME()","'"&amp;SUBSTITUTE($I105,"'","''")&amp;"'")&amp;" WHERE NOT EXISTS (SELECT 1 FROM Posts WHERE URL_Post = "&amp;"'"&amp;SUBSTITUTE($C105,"'","''")&amp;"'"&amp;");")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6"/>
      <c r="G106" s="26"/>
      <c r="H106" s="28"/>
      <c r="I106" s="28"/>
      <c r="K106" s="25" t="str">
        <f aca="false">IF($A106="","","INSERT INTO Posts (Titulo_Post, Resumo, URL_Post, URL_Imagem, Fonte, ID_Categoria, ID_Autor, DataPublicacao, DataColeta) SELECT "&amp;"'"&amp;SUBSTITUTE($A106,"'","''")&amp;"'"&amp;", "&amp;IF($B106="","NULL","'"&amp;SUBSTITUTE($B106,"'","''")&amp;"'")&amp;", "&amp;"'"&amp;SUBSTITUTE($C106,"'","''")&amp;"'"&amp;", "&amp;IF($D106="","NULL","'"&amp;SUBSTITUTE($D106,"'","''")&amp;"'")&amp;", "&amp;IF($E106="","NULL","'"&amp;SUBSTITUTE($E106,"'","''")&amp;"'")&amp;", "&amp;"(SELECT ID_Categoria FROM Categorias WHERE NomeCategoria = '"&amp;SUBSTITUTE($F106,"'","''")&amp;"')"&amp;", "&amp;IF($G106="","NULL","(SELECT ID_Usuario FROM Usuario WHERE NomeUsuario = '"&amp;SUBSTITUTE($G106,"'","''")&amp;"')")&amp;", "&amp;"'"&amp;SUBSTITUTE($H106,"'","''")&amp;"'"&amp;", "&amp;IF($I106="","SYSDATETIME()","'"&amp;SUBSTITUTE($I106,"'","''")&amp;"'")&amp;" WHERE NOT EXISTS (SELECT 1 FROM Posts WHERE URL_Post = "&amp;"'"&amp;SUBSTITUTE($C106,"'","''")&amp;"'"&amp;");")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6"/>
      <c r="G107" s="26"/>
      <c r="H107" s="28"/>
      <c r="I107" s="28"/>
      <c r="K107" s="25" t="str">
        <f aca="false">IF($A107="","","INSERT INTO Posts (Titulo_Post, Resumo, URL_Post, URL_Imagem, Fonte, ID_Categoria, ID_Autor, DataPublicacao, DataColeta) SELECT "&amp;"'"&amp;SUBSTITUTE($A107,"'","''")&amp;"'"&amp;", "&amp;IF($B107="","NULL","'"&amp;SUBSTITUTE($B107,"'","''")&amp;"'")&amp;", "&amp;"'"&amp;SUBSTITUTE($C107,"'","''")&amp;"'"&amp;", "&amp;IF($D107="","NULL","'"&amp;SUBSTITUTE($D107,"'","''")&amp;"'")&amp;", "&amp;IF($E107="","NULL","'"&amp;SUBSTITUTE($E107,"'","''")&amp;"'")&amp;", "&amp;"(SELECT ID_Categoria FROM Categorias WHERE NomeCategoria = '"&amp;SUBSTITUTE($F107,"'","''")&amp;"')"&amp;", "&amp;IF($G107="","NULL","(SELECT ID_Usuario FROM Usuario WHERE NomeUsuario = '"&amp;SUBSTITUTE($G107,"'","''")&amp;"')")&amp;", "&amp;"'"&amp;SUBSTITUTE($H107,"'","''")&amp;"'"&amp;", "&amp;IF($I107="","SYSDATETIME()","'"&amp;SUBSTITUTE($I107,"'","''")&amp;"'")&amp;" WHERE NOT EXISTS (SELECT 1 FROM Posts WHERE URL_Post = "&amp;"'"&amp;SUBSTITUTE($C107,"'","''")&amp;"'"&amp;");")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6"/>
      <c r="G108" s="26"/>
      <c r="H108" s="28"/>
      <c r="I108" s="28"/>
      <c r="K108" s="25" t="str">
        <f aca="false">IF($A108="","","INSERT INTO Posts (Titulo_Post, Resumo, URL_Post, URL_Imagem, Fonte, ID_Categoria, ID_Autor, DataPublicacao, DataColeta) SELECT "&amp;"'"&amp;SUBSTITUTE($A108,"'","''")&amp;"'"&amp;", "&amp;IF($B108="","NULL","'"&amp;SUBSTITUTE($B108,"'","''")&amp;"'")&amp;", "&amp;"'"&amp;SUBSTITUTE($C108,"'","''")&amp;"'"&amp;", "&amp;IF($D108="","NULL","'"&amp;SUBSTITUTE($D108,"'","''")&amp;"'")&amp;", "&amp;IF($E108="","NULL","'"&amp;SUBSTITUTE($E108,"'","''")&amp;"'")&amp;", "&amp;"(SELECT ID_Categoria FROM Categorias WHERE NomeCategoria = '"&amp;SUBSTITUTE($F108,"'","''")&amp;"')"&amp;", "&amp;IF($G108="","NULL","(SELECT ID_Usuario FROM Usuario WHERE NomeUsuario = '"&amp;SUBSTITUTE($G108,"'","''")&amp;"')")&amp;", "&amp;"'"&amp;SUBSTITUTE($H108,"'","''")&amp;"'"&amp;", "&amp;IF($I108="","SYSDATETIME()","'"&amp;SUBSTITUTE($I108,"'","''")&amp;"'")&amp;" WHERE NOT EXISTS (SELECT 1 FROM Posts WHERE URL_Post = "&amp;"'"&amp;SUBSTITUTE($C108,"'","''")&amp;"'"&amp;");")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6"/>
      <c r="G109" s="26"/>
      <c r="H109" s="28"/>
      <c r="I109" s="28"/>
      <c r="K109" s="25" t="str">
        <f aca="false">IF($A109="","","INSERT INTO Posts (Titulo_Post, Resumo, URL_Post, URL_Imagem, Fonte, ID_Categoria, ID_Autor, DataPublicacao, DataColeta) SELECT "&amp;"'"&amp;SUBSTITUTE($A109,"'","''")&amp;"'"&amp;", "&amp;IF($B109="","NULL","'"&amp;SUBSTITUTE($B109,"'","''")&amp;"'")&amp;", "&amp;"'"&amp;SUBSTITUTE($C109,"'","''")&amp;"'"&amp;", "&amp;IF($D109="","NULL","'"&amp;SUBSTITUTE($D109,"'","''")&amp;"'")&amp;", "&amp;IF($E109="","NULL","'"&amp;SUBSTITUTE($E109,"'","''")&amp;"'")&amp;", "&amp;"(SELECT ID_Categoria FROM Categorias WHERE NomeCategoria = '"&amp;SUBSTITUTE($F109,"'","''")&amp;"')"&amp;", "&amp;IF($G109="","NULL","(SELECT ID_Usuario FROM Usuario WHERE NomeUsuario = '"&amp;SUBSTITUTE($G109,"'","''")&amp;"')")&amp;", "&amp;"'"&amp;SUBSTITUTE($H109,"'","''")&amp;"'"&amp;", "&amp;IF($I109="","SYSDATETIME()","'"&amp;SUBSTITUTE($I109,"'","''")&amp;"'")&amp;" WHERE NOT EXISTS (SELECT 1 FROM Posts WHERE URL_Post = "&amp;"'"&amp;SUBSTITUTE($C109,"'","''")&amp;"'"&amp;");")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6"/>
      <c r="G110" s="26"/>
      <c r="H110" s="28"/>
      <c r="I110" s="28"/>
      <c r="K110" s="25" t="str">
        <f aca="false">IF($A110="","","INSERT INTO Posts (Titulo_Post, Resumo, URL_Post, URL_Imagem, Fonte, ID_Categoria, ID_Autor, DataPublicacao, DataColeta) SELECT "&amp;"'"&amp;SUBSTITUTE($A110,"'","''")&amp;"'"&amp;", "&amp;IF($B110="","NULL","'"&amp;SUBSTITUTE($B110,"'","''")&amp;"'")&amp;", "&amp;"'"&amp;SUBSTITUTE($C110,"'","''")&amp;"'"&amp;", "&amp;IF($D110="","NULL","'"&amp;SUBSTITUTE($D110,"'","''")&amp;"'")&amp;", "&amp;IF($E110="","NULL","'"&amp;SUBSTITUTE($E110,"'","''")&amp;"'")&amp;", "&amp;"(SELECT ID_Categoria FROM Categorias WHERE NomeCategoria = '"&amp;SUBSTITUTE($F110,"'","''")&amp;"')"&amp;", "&amp;IF($G110="","NULL","(SELECT ID_Usuario FROM Usuario WHERE NomeUsuario = '"&amp;SUBSTITUTE($G110,"'","''")&amp;"')")&amp;", "&amp;"'"&amp;SUBSTITUTE($H110,"'","''")&amp;"'"&amp;", "&amp;IF($I110="","SYSDATETIME()","'"&amp;SUBSTITUTE($I110,"'","''")&amp;"'")&amp;" WHERE NOT EXISTS (SELECT 1 FROM Posts WHERE URL_Post = "&amp;"'"&amp;SUBSTITUTE($C110,"'","''")&amp;"'"&amp;");")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6"/>
      <c r="G111" s="26"/>
      <c r="H111" s="28"/>
      <c r="I111" s="28"/>
      <c r="K111" s="25" t="str">
        <f aca="false">IF($A111="","","INSERT INTO Posts (Titulo_Post, Resumo, URL_Post, URL_Imagem, Fonte, ID_Categoria, ID_Autor, DataPublicacao, DataColeta) SELECT "&amp;"'"&amp;SUBSTITUTE($A111,"'","''")&amp;"'"&amp;", "&amp;IF($B111="","NULL","'"&amp;SUBSTITUTE($B111,"'","''")&amp;"'")&amp;", "&amp;"'"&amp;SUBSTITUTE($C111,"'","''")&amp;"'"&amp;", "&amp;IF($D111="","NULL","'"&amp;SUBSTITUTE($D111,"'","''")&amp;"'")&amp;", "&amp;IF($E111="","NULL","'"&amp;SUBSTITUTE($E111,"'","''")&amp;"'")&amp;", "&amp;"(SELECT ID_Categoria FROM Categorias WHERE NomeCategoria = '"&amp;SUBSTITUTE($F111,"'","''")&amp;"')"&amp;", "&amp;IF($G111="","NULL","(SELECT ID_Usuario FROM Usuario WHERE NomeUsuario = '"&amp;SUBSTITUTE($G111,"'","''")&amp;"')")&amp;", "&amp;"'"&amp;SUBSTITUTE($H111,"'","''")&amp;"'"&amp;", "&amp;IF($I111="","SYSDATETIME()","'"&amp;SUBSTITUTE($I111,"'","''")&amp;"'")&amp;" WHERE NOT EXISTS (SELECT 1 FROM Posts WHERE URL_Post = "&amp;"'"&amp;SUBSTITUTE($C111,"'","''")&amp;"'"&amp;");")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6"/>
      <c r="G112" s="26"/>
      <c r="H112" s="28"/>
      <c r="I112" s="28"/>
      <c r="K112" s="25" t="str">
        <f aca="false">IF($A112="","","INSERT INTO Posts (Titulo_Post, Resumo, URL_Post, URL_Imagem, Fonte, ID_Categoria, ID_Autor, DataPublicacao, DataColeta) SELECT "&amp;"'"&amp;SUBSTITUTE($A112,"'","''")&amp;"'"&amp;", "&amp;IF($B112="","NULL","'"&amp;SUBSTITUTE($B112,"'","''")&amp;"'")&amp;", "&amp;"'"&amp;SUBSTITUTE($C112,"'","''")&amp;"'"&amp;", "&amp;IF($D112="","NULL","'"&amp;SUBSTITUTE($D112,"'","''")&amp;"'")&amp;", "&amp;IF($E112="","NULL","'"&amp;SUBSTITUTE($E112,"'","''")&amp;"'")&amp;", "&amp;"(SELECT ID_Categoria FROM Categorias WHERE NomeCategoria = '"&amp;SUBSTITUTE($F112,"'","''")&amp;"')"&amp;", "&amp;IF($G112="","NULL","(SELECT ID_Usuario FROM Usuario WHERE NomeUsuario = '"&amp;SUBSTITUTE($G112,"'","''")&amp;"')")&amp;", "&amp;"'"&amp;SUBSTITUTE($H112,"'","''")&amp;"'"&amp;", "&amp;IF($I112="","SYSDATETIME()","'"&amp;SUBSTITUTE($I112,"'","''")&amp;"'")&amp;" WHERE NOT EXISTS (SELECT 1 FROM Posts WHERE URL_Post = "&amp;"'"&amp;SUBSTITUTE($C112,"'","''")&amp;"'"&amp;");")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6"/>
      <c r="G113" s="26"/>
      <c r="H113" s="28"/>
      <c r="I113" s="28"/>
      <c r="K113" s="25" t="str">
        <f aca="false">IF($A113="","","INSERT INTO Posts (Titulo_Post, Resumo, URL_Post, URL_Imagem, Fonte, ID_Categoria, ID_Autor, DataPublicacao, DataColeta) SELECT "&amp;"'"&amp;SUBSTITUTE($A113,"'","''")&amp;"'"&amp;", "&amp;IF($B113="","NULL","'"&amp;SUBSTITUTE($B113,"'","''")&amp;"'")&amp;", "&amp;"'"&amp;SUBSTITUTE($C113,"'","''")&amp;"'"&amp;", "&amp;IF($D113="","NULL","'"&amp;SUBSTITUTE($D113,"'","''")&amp;"'")&amp;", "&amp;IF($E113="","NULL","'"&amp;SUBSTITUTE($E113,"'","''")&amp;"'")&amp;", "&amp;"(SELECT ID_Categoria FROM Categorias WHERE NomeCategoria = '"&amp;SUBSTITUTE($F113,"'","''")&amp;"')"&amp;", "&amp;IF($G113="","NULL","(SELECT ID_Usuario FROM Usuario WHERE NomeUsuario = '"&amp;SUBSTITUTE($G113,"'","''")&amp;"')")&amp;", "&amp;"'"&amp;SUBSTITUTE($H113,"'","''")&amp;"'"&amp;", "&amp;IF($I113="","SYSDATETIME()","'"&amp;SUBSTITUTE($I113,"'","''")&amp;"'")&amp;" WHERE NOT EXISTS (SELECT 1 FROM Posts WHERE URL_Post = "&amp;"'"&amp;SUBSTITUTE($C113,"'","''")&amp;"'"&amp;");")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6"/>
      <c r="G114" s="26"/>
      <c r="H114" s="28"/>
      <c r="I114" s="28"/>
      <c r="K114" s="25" t="str">
        <f aca="false">IF($A114="","","INSERT INTO Posts (Titulo_Post, Resumo, URL_Post, URL_Imagem, Fonte, ID_Categoria, ID_Autor, DataPublicacao, DataColeta) SELECT "&amp;"'"&amp;SUBSTITUTE($A114,"'","''")&amp;"'"&amp;", "&amp;IF($B114="","NULL","'"&amp;SUBSTITUTE($B114,"'","''")&amp;"'")&amp;", "&amp;"'"&amp;SUBSTITUTE($C114,"'","''")&amp;"'"&amp;", "&amp;IF($D114="","NULL","'"&amp;SUBSTITUTE($D114,"'","''")&amp;"'")&amp;", "&amp;IF($E114="","NULL","'"&amp;SUBSTITUTE($E114,"'","''")&amp;"'")&amp;", "&amp;"(SELECT ID_Categoria FROM Categorias WHERE NomeCategoria = '"&amp;SUBSTITUTE($F114,"'","''")&amp;"')"&amp;", "&amp;IF($G114="","NULL","(SELECT ID_Usuario FROM Usuario WHERE NomeUsuario = '"&amp;SUBSTITUTE($G114,"'","''")&amp;"')")&amp;", "&amp;"'"&amp;SUBSTITUTE($H114,"'","''")&amp;"'"&amp;", "&amp;IF($I114="","SYSDATETIME()","'"&amp;SUBSTITUTE($I114,"'","''")&amp;"'")&amp;" WHERE NOT EXISTS (SELECT 1 FROM Posts WHERE URL_Post = "&amp;"'"&amp;SUBSTITUTE($C114,"'","''")&amp;"'"&amp;");")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6"/>
      <c r="G115" s="26"/>
      <c r="H115" s="28"/>
      <c r="I115" s="28"/>
      <c r="K115" s="25" t="str">
        <f aca="false">IF($A115="","","INSERT INTO Posts (Titulo_Post, Resumo, URL_Post, URL_Imagem, Fonte, ID_Categoria, ID_Autor, DataPublicacao, DataColeta) SELECT "&amp;"'"&amp;SUBSTITUTE($A115,"'","''")&amp;"'"&amp;", "&amp;IF($B115="","NULL","'"&amp;SUBSTITUTE($B115,"'","''")&amp;"'")&amp;", "&amp;"'"&amp;SUBSTITUTE($C115,"'","''")&amp;"'"&amp;", "&amp;IF($D115="","NULL","'"&amp;SUBSTITUTE($D115,"'","''")&amp;"'")&amp;", "&amp;IF($E115="","NULL","'"&amp;SUBSTITUTE($E115,"'","''")&amp;"'")&amp;", "&amp;"(SELECT ID_Categoria FROM Categorias WHERE NomeCategoria = '"&amp;SUBSTITUTE($F115,"'","''")&amp;"')"&amp;", "&amp;IF($G115="","NULL","(SELECT ID_Usuario FROM Usuario WHERE NomeUsuario = '"&amp;SUBSTITUTE($G115,"'","''")&amp;"')")&amp;", "&amp;"'"&amp;SUBSTITUTE($H115,"'","''")&amp;"'"&amp;", "&amp;IF($I115="","SYSDATETIME()","'"&amp;SUBSTITUTE($I115,"'","''")&amp;"'")&amp;" WHERE NOT EXISTS (SELECT 1 FROM Posts WHERE URL_Post = "&amp;"'"&amp;SUBSTITUTE($C115,"'","''")&amp;"'"&amp;");")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6"/>
      <c r="G116" s="26"/>
      <c r="H116" s="28"/>
      <c r="I116" s="28"/>
      <c r="K116" s="25" t="str">
        <f aca="false">IF($A116="","","INSERT INTO Posts (Titulo_Post, Resumo, URL_Post, URL_Imagem, Fonte, ID_Categoria, ID_Autor, DataPublicacao, DataColeta) SELECT "&amp;"'"&amp;SUBSTITUTE($A116,"'","''")&amp;"'"&amp;", "&amp;IF($B116="","NULL","'"&amp;SUBSTITUTE($B116,"'","''")&amp;"'")&amp;", "&amp;"'"&amp;SUBSTITUTE($C116,"'","''")&amp;"'"&amp;", "&amp;IF($D116="","NULL","'"&amp;SUBSTITUTE($D116,"'","''")&amp;"'")&amp;", "&amp;IF($E116="","NULL","'"&amp;SUBSTITUTE($E116,"'","''")&amp;"'")&amp;", "&amp;"(SELECT ID_Categoria FROM Categorias WHERE NomeCategoria = '"&amp;SUBSTITUTE($F116,"'","''")&amp;"')"&amp;", "&amp;IF($G116="","NULL","(SELECT ID_Usuario FROM Usuario WHERE NomeUsuario = '"&amp;SUBSTITUTE($G116,"'","''")&amp;"')")&amp;", "&amp;"'"&amp;SUBSTITUTE($H116,"'","''")&amp;"'"&amp;", "&amp;IF($I116="","SYSDATETIME()","'"&amp;SUBSTITUTE($I116,"'","''")&amp;"'")&amp;" WHERE NOT EXISTS (SELECT 1 FROM Posts WHERE URL_Post = "&amp;"'"&amp;SUBSTITUTE($C116,"'","''")&amp;"'"&amp;");")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6"/>
      <c r="G117" s="26"/>
      <c r="H117" s="28"/>
      <c r="I117" s="28"/>
      <c r="K117" s="25" t="str">
        <f aca="false">IF($A117="","","INSERT INTO Posts (Titulo_Post, Resumo, URL_Post, URL_Imagem, Fonte, ID_Categoria, ID_Autor, DataPublicacao, DataColeta) SELECT "&amp;"'"&amp;SUBSTITUTE($A117,"'","''")&amp;"'"&amp;", "&amp;IF($B117="","NULL","'"&amp;SUBSTITUTE($B117,"'","''")&amp;"'")&amp;", "&amp;"'"&amp;SUBSTITUTE($C117,"'","''")&amp;"'"&amp;", "&amp;IF($D117="","NULL","'"&amp;SUBSTITUTE($D117,"'","''")&amp;"'")&amp;", "&amp;IF($E117="","NULL","'"&amp;SUBSTITUTE($E117,"'","''")&amp;"'")&amp;", "&amp;"(SELECT ID_Categoria FROM Categorias WHERE NomeCategoria = '"&amp;SUBSTITUTE($F117,"'","''")&amp;"')"&amp;", "&amp;IF($G117="","NULL","(SELECT ID_Usuario FROM Usuario WHERE NomeUsuario = '"&amp;SUBSTITUTE($G117,"'","''")&amp;"')")&amp;", "&amp;"'"&amp;SUBSTITUTE($H117,"'","''")&amp;"'"&amp;", "&amp;IF($I117="","SYSDATETIME()","'"&amp;SUBSTITUTE($I117,"'","''")&amp;"'")&amp;" WHERE NOT EXISTS (SELECT 1 FROM Posts WHERE URL_Post = "&amp;"'"&amp;SUBSTITUTE($C117,"'","''")&amp;"'"&amp;");")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6"/>
      <c r="G118" s="26"/>
      <c r="H118" s="28"/>
      <c r="I118" s="28"/>
      <c r="K118" s="25" t="str">
        <f aca="false">IF($A118="","","INSERT INTO Posts (Titulo_Post, Resumo, URL_Post, URL_Imagem, Fonte, ID_Categoria, ID_Autor, DataPublicacao, DataColeta) SELECT "&amp;"'"&amp;SUBSTITUTE($A118,"'","''")&amp;"'"&amp;", "&amp;IF($B118="","NULL","'"&amp;SUBSTITUTE($B118,"'","''")&amp;"'")&amp;", "&amp;"'"&amp;SUBSTITUTE($C118,"'","''")&amp;"'"&amp;", "&amp;IF($D118="","NULL","'"&amp;SUBSTITUTE($D118,"'","''")&amp;"'")&amp;", "&amp;IF($E118="","NULL","'"&amp;SUBSTITUTE($E118,"'","''")&amp;"'")&amp;", "&amp;"(SELECT ID_Categoria FROM Categorias WHERE NomeCategoria = '"&amp;SUBSTITUTE($F118,"'","''")&amp;"')"&amp;", "&amp;IF($G118="","NULL","(SELECT ID_Usuario FROM Usuario WHERE NomeUsuario = '"&amp;SUBSTITUTE($G118,"'","''")&amp;"')")&amp;", "&amp;"'"&amp;SUBSTITUTE($H118,"'","''")&amp;"'"&amp;", "&amp;IF($I118="","SYSDATETIME()","'"&amp;SUBSTITUTE($I118,"'","''")&amp;"'")&amp;" WHERE NOT EXISTS (SELECT 1 FROM Posts WHERE URL_Post = "&amp;"'"&amp;SUBSTITUTE($C118,"'","''")&amp;"'"&amp;");")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6"/>
      <c r="G119" s="26"/>
      <c r="H119" s="28"/>
      <c r="I119" s="28"/>
      <c r="K119" s="25" t="str">
        <f aca="false">IF($A119="","","INSERT INTO Posts (Titulo_Post, Resumo, URL_Post, URL_Imagem, Fonte, ID_Categoria, ID_Autor, DataPublicacao, DataColeta) SELECT "&amp;"'"&amp;SUBSTITUTE($A119,"'","''")&amp;"'"&amp;", "&amp;IF($B119="","NULL","'"&amp;SUBSTITUTE($B119,"'","''")&amp;"'")&amp;", "&amp;"'"&amp;SUBSTITUTE($C119,"'","''")&amp;"'"&amp;", "&amp;IF($D119="","NULL","'"&amp;SUBSTITUTE($D119,"'","''")&amp;"'")&amp;", "&amp;IF($E119="","NULL","'"&amp;SUBSTITUTE($E119,"'","''")&amp;"'")&amp;", "&amp;"(SELECT ID_Categoria FROM Categorias WHERE NomeCategoria = '"&amp;SUBSTITUTE($F119,"'","''")&amp;"')"&amp;", "&amp;IF($G119="","NULL","(SELECT ID_Usuario FROM Usuario WHERE NomeUsuario = '"&amp;SUBSTITUTE($G119,"'","''")&amp;"')")&amp;", "&amp;"'"&amp;SUBSTITUTE($H119,"'","''")&amp;"'"&amp;", "&amp;IF($I119="","SYSDATETIME()","'"&amp;SUBSTITUTE($I119,"'","''")&amp;"'")&amp;" WHERE NOT EXISTS (SELECT 1 FROM Posts WHERE URL_Post = "&amp;"'"&amp;SUBSTITUTE($C119,"'","''")&amp;"'"&amp;");")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6"/>
      <c r="G120" s="26"/>
      <c r="H120" s="28"/>
      <c r="I120" s="28"/>
      <c r="K120" s="25" t="str">
        <f aca="false">IF($A120="","","INSERT INTO Posts (Titulo_Post, Resumo, URL_Post, URL_Imagem, Fonte, ID_Categoria, ID_Autor, DataPublicacao, DataColeta) SELECT "&amp;"'"&amp;SUBSTITUTE($A120,"'","''")&amp;"'"&amp;", "&amp;IF($B120="","NULL","'"&amp;SUBSTITUTE($B120,"'","''")&amp;"'")&amp;", "&amp;"'"&amp;SUBSTITUTE($C120,"'","''")&amp;"'"&amp;", "&amp;IF($D120="","NULL","'"&amp;SUBSTITUTE($D120,"'","''")&amp;"'")&amp;", "&amp;IF($E120="","NULL","'"&amp;SUBSTITUTE($E120,"'","''")&amp;"'")&amp;", "&amp;"(SELECT ID_Categoria FROM Categorias WHERE NomeCategoria = '"&amp;SUBSTITUTE($F120,"'","''")&amp;"')"&amp;", "&amp;IF($G120="","NULL","(SELECT ID_Usuario FROM Usuario WHERE NomeUsuario = '"&amp;SUBSTITUTE($G120,"'","''")&amp;"')")&amp;", "&amp;"'"&amp;SUBSTITUTE($H120,"'","''")&amp;"'"&amp;", "&amp;IF($I120="","SYSDATETIME()","'"&amp;SUBSTITUTE($I120,"'","''")&amp;"'")&amp;" WHERE NOT EXISTS (SELECT 1 FROM Posts WHERE URL_Post = "&amp;"'"&amp;SUBSTITUTE($C120,"'","''")&amp;"'"&amp;");")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6"/>
      <c r="G121" s="26"/>
      <c r="H121" s="28"/>
      <c r="I121" s="28"/>
      <c r="K121" s="25" t="str">
        <f aca="false">IF($A121="","","INSERT INTO Posts (Titulo_Post, Resumo, URL_Post, URL_Imagem, Fonte, ID_Categoria, ID_Autor, DataPublicacao, DataColeta) SELECT "&amp;"'"&amp;SUBSTITUTE($A121,"'","''")&amp;"'"&amp;", "&amp;IF($B121="","NULL","'"&amp;SUBSTITUTE($B121,"'","''")&amp;"'")&amp;", "&amp;"'"&amp;SUBSTITUTE($C121,"'","''")&amp;"'"&amp;", "&amp;IF($D121="","NULL","'"&amp;SUBSTITUTE($D121,"'","''")&amp;"'")&amp;", "&amp;IF($E121="","NULL","'"&amp;SUBSTITUTE($E121,"'","''")&amp;"'")&amp;", "&amp;"(SELECT ID_Categoria FROM Categorias WHERE NomeCategoria = '"&amp;SUBSTITUTE($F121,"'","''")&amp;"')"&amp;", "&amp;IF($G121="","NULL","(SELECT ID_Usuario FROM Usuario WHERE NomeUsuario = '"&amp;SUBSTITUTE($G121,"'","''")&amp;"')")&amp;", "&amp;"'"&amp;SUBSTITUTE($H121,"'","''")&amp;"'"&amp;", "&amp;IF($I121="","SYSDATETIME()","'"&amp;SUBSTITUTE($I121,"'","''")&amp;"'")&amp;" WHERE NOT EXISTS (SELECT 1 FROM Posts WHERE URL_Post = "&amp;"'"&amp;SUBSTITUTE($C121,"'","''")&amp;"'"&amp;");")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6"/>
      <c r="G122" s="26"/>
      <c r="H122" s="28"/>
      <c r="I122" s="28"/>
      <c r="K122" s="25" t="str">
        <f aca="false">IF($A122="","","INSERT INTO Posts (Titulo_Post, Resumo, URL_Post, URL_Imagem, Fonte, ID_Categoria, ID_Autor, DataPublicacao, DataColeta) SELECT "&amp;"'"&amp;SUBSTITUTE($A122,"'","''")&amp;"'"&amp;", "&amp;IF($B122="","NULL","'"&amp;SUBSTITUTE($B122,"'","''")&amp;"'")&amp;", "&amp;"'"&amp;SUBSTITUTE($C122,"'","''")&amp;"'"&amp;", "&amp;IF($D122="","NULL","'"&amp;SUBSTITUTE($D122,"'","''")&amp;"'")&amp;", "&amp;IF($E122="","NULL","'"&amp;SUBSTITUTE($E122,"'","''")&amp;"'")&amp;", "&amp;"(SELECT ID_Categoria FROM Categorias WHERE NomeCategoria = '"&amp;SUBSTITUTE($F122,"'","''")&amp;"')"&amp;", "&amp;IF($G122="","NULL","(SELECT ID_Usuario FROM Usuario WHERE NomeUsuario = '"&amp;SUBSTITUTE($G122,"'","''")&amp;"')")&amp;", "&amp;"'"&amp;SUBSTITUTE($H122,"'","''")&amp;"'"&amp;", "&amp;IF($I122="","SYSDATETIME()","'"&amp;SUBSTITUTE($I122,"'","''")&amp;"'")&amp;" WHERE NOT EXISTS (SELECT 1 FROM Posts WHERE URL_Post = "&amp;"'"&amp;SUBSTITUTE($C122,"'","''")&amp;"'"&amp;");")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6"/>
      <c r="G123" s="26"/>
      <c r="H123" s="28"/>
      <c r="I123" s="28"/>
      <c r="K123" s="25" t="str">
        <f aca="false">IF($A123="","","INSERT INTO Posts (Titulo_Post, Resumo, URL_Post, URL_Imagem, Fonte, ID_Categoria, ID_Autor, DataPublicacao, DataColeta) SELECT "&amp;"'"&amp;SUBSTITUTE($A123,"'","''")&amp;"'"&amp;", "&amp;IF($B123="","NULL","'"&amp;SUBSTITUTE($B123,"'","''")&amp;"'")&amp;", "&amp;"'"&amp;SUBSTITUTE($C123,"'","''")&amp;"'"&amp;", "&amp;IF($D123="","NULL","'"&amp;SUBSTITUTE($D123,"'","''")&amp;"'")&amp;", "&amp;IF($E123="","NULL","'"&amp;SUBSTITUTE($E123,"'","''")&amp;"'")&amp;", "&amp;"(SELECT ID_Categoria FROM Categorias WHERE NomeCategoria = '"&amp;SUBSTITUTE($F123,"'","''")&amp;"')"&amp;", "&amp;IF($G123="","NULL","(SELECT ID_Usuario FROM Usuario WHERE NomeUsuario = '"&amp;SUBSTITUTE($G123,"'","''")&amp;"')")&amp;", "&amp;"'"&amp;SUBSTITUTE($H123,"'","''")&amp;"'"&amp;", "&amp;IF($I123="","SYSDATETIME()","'"&amp;SUBSTITUTE($I123,"'","''")&amp;"'")&amp;" WHERE NOT EXISTS (SELECT 1 FROM Posts WHERE URL_Post = "&amp;"'"&amp;SUBSTITUTE($C123,"'","''")&amp;"'"&amp;");")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6"/>
      <c r="G124" s="26"/>
      <c r="H124" s="28"/>
      <c r="I124" s="28"/>
      <c r="K124" s="25" t="str">
        <f aca="false">IF($A124="","","INSERT INTO Posts (Titulo_Post, Resumo, URL_Post, URL_Imagem, Fonte, ID_Categoria, ID_Autor, DataPublicacao, DataColeta) SELECT "&amp;"'"&amp;SUBSTITUTE($A124,"'","''")&amp;"'"&amp;", "&amp;IF($B124="","NULL","'"&amp;SUBSTITUTE($B124,"'","''")&amp;"'")&amp;", "&amp;"'"&amp;SUBSTITUTE($C124,"'","''")&amp;"'"&amp;", "&amp;IF($D124="","NULL","'"&amp;SUBSTITUTE($D124,"'","''")&amp;"'")&amp;", "&amp;IF($E124="","NULL","'"&amp;SUBSTITUTE($E124,"'","''")&amp;"'")&amp;", "&amp;"(SELECT ID_Categoria FROM Categorias WHERE NomeCategoria = '"&amp;SUBSTITUTE($F124,"'","''")&amp;"')"&amp;", "&amp;IF($G124="","NULL","(SELECT ID_Usuario FROM Usuario WHERE NomeUsuario = '"&amp;SUBSTITUTE($G124,"'","''")&amp;"')")&amp;", "&amp;"'"&amp;SUBSTITUTE($H124,"'","''")&amp;"'"&amp;", "&amp;IF($I124="","SYSDATETIME()","'"&amp;SUBSTITUTE($I124,"'","''")&amp;"'")&amp;" WHERE NOT EXISTS (SELECT 1 FROM Posts WHERE URL_Post = "&amp;"'"&amp;SUBSTITUTE($C124,"'","''")&amp;"'"&amp;");")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6"/>
      <c r="G125" s="26"/>
      <c r="H125" s="28"/>
      <c r="I125" s="28"/>
      <c r="K125" s="25" t="str">
        <f aca="false">IF($A125="","","INSERT INTO Posts (Titulo_Post, Resumo, URL_Post, URL_Imagem, Fonte, ID_Categoria, ID_Autor, DataPublicacao, DataColeta) SELECT "&amp;"'"&amp;SUBSTITUTE($A125,"'","''")&amp;"'"&amp;", "&amp;IF($B125="","NULL","'"&amp;SUBSTITUTE($B125,"'","''")&amp;"'")&amp;", "&amp;"'"&amp;SUBSTITUTE($C125,"'","''")&amp;"'"&amp;", "&amp;IF($D125="","NULL","'"&amp;SUBSTITUTE($D125,"'","''")&amp;"'")&amp;", "&amp;IF($E125="","NULL","'"&amp;SUBSTITUTE($E125,"'","''")&amp;"'")&amp;", "&amp;"(SELECT ID_Categoria FROM Categorias WHERE NomeCategoria = '"&amp;SUBSTITUTE($F125,"'","''")&amp;"')"&amp;", "&amp;IF($G125="","NULL","(SELECT ID_Usuario FROM Usuario WHERE NomeUsuario = '"&amp;SUBSTITUTE($G125,"'","''")&amp;"')")&amp;", "&amp;"'"&amp;SUBSTITUTE($H125,"'","''")&amp;"'"&amp;", "&amp;IF($I125="","SYSDATETIME()","'"&amp;SUBSTITUTE($I125,"'","''")&amp;"'")&amp;" WHERE NOT EXISTS (SELECT 1 FROM Posts WHERE URL_Post = "&amp;"'"&amp;SUBSTITUTE($C125,"'","''")&amp;"'"&amp;");")</f>
        <v/>
      </c>
    </row>
    <row r="126" customFormat="false" ht="15" hidden="false" customHeight="false" outlineLevel="0" collapsed="false">
      <c r="A126" s="26"/>
      <c r="B126" s="26"/>
      <c r="C126" s="26"/>
      <c r="D126" s="26"/>
      <c r="E126" s="26"/>
      <c r="F126" s="26"/>
      <c r="G126" s="26"/>
      <c r="H126" s="28"/>
      <c r="I126" s="28"/>
      <c r="K126" s="25" t="str">
        <f aca="false">IF($A126="","","INSERT INTO Posts (Titulo_Post, Resumo, URL_Post, URL_Imagem, Fonte, ID_Categoria, ID_Autor, DataPublicacao, DataColeta) SELECT "&amp;"'"&amp;SUBSTITUTE($A126,"'","''")&amp;"'"&amp;", "&amp;IF($B126="","NULL","'"&amp;SUBSTITUTE($B126,"'","''")&amp;"'")&amp;", "&amp;"'"&amp;SUBSTITUTE($C126,"'","''")&amp;"'"&amp;", "&amp;IF($D126="","NULL","'"&amp;SUBSTITUTE($D126,"'","''")&amp;"'")&amp;", "&amp;IF($E126="","NULL","'"&amp;SUBSTITUTE($E126,"'","''")&amp;"'")&amp;", "&amp;"(SELECT ID_Categoria FROM Categorias WHERE NomeCategoria = '"&amp;SUBSTITUTE($F126,"'","''")&amp;"')"&amp;", "&amp;IF($G126="","NULL","(SELECT ID_Usuario FROM Usuario WHERE NomeUsuario = '"&amp;SUBSTITUTE($G126,"'","''")&amp;"')")&amp;", "&amp;"'"&amp;SUBSTITUTE($H126,"'","''")&amp;"'"&amp;", "&amp;IF($I126="","SYSDATETIME()","'"&amp;SUBSTITUTE($I126,"'","''")&amp;"'")&amp;" WHERE NOT EXISTS (SELECT 1 FROM Posts WHERE URL_Post = "&amp;"'"&amp;SUBSTITUTE($C126,"'","''")&amp;"'"&amp;");")</f>
        <v/>
      </c>
    </row>
    <row r="127" customFormat="false" ht="15" hidden="false" customHeight="false" outlineLevel="0" collapsed="false">
      <c r="A127" s="26"/>
      <c r="B127" s="26"/>
      <c r="C127" s="26"/>
      <c r="D127" s="26"/>
      <c r="E127" s="26"/>
      <c r="F127" s="26"/>
      <c r="G127" s="26"/>
      <c r="H127" s="28"/>
      <c r="I127" s="28"/>
      <c r="K127" s="25" t="str">
        <f aca="false">IF($A127="","","INSERT INTO Posts (Titulo_Post, Resumo, URL_Post, URL_Imagem, Fonte, ID_Categoria, ID_Autor, DataPublicacao, DataColeta) SELECT "&amp;"'"&amp;SUBSTITUTE($A127,"'","''")&amp;"'"&amp;", "&amp;IF($B127="","NULL","'"&amp;SUBSTITUTE($B127,"'","''")&amp;"'")&amp;", "&amp;"'"&amp;SUBSTITUTE($C127,"'","''")&amp;"'"&amp;", "&amp;IF($D127="","NULL","'"&amp;SUBSTITUTE($D127,"'","''")&amp;"'")&amp;", "&amp;IF($E127="","NULL","'"&amp;SUBSTITUTE($E127,"'","''")&amp;"'")&amp;", "&amp;"(SELECT ID_Categoria FROM Categorias WHERE NomeCategoria = '"&amp;SUBSTITUTE($F127,"'","''")&amp;"')"&amp;", "&amp;IF($G127="","NULL","(SELECT ID_Usuario FROM Usuario WHERE NomeUsuario = '"&amp;SUBSTITUTE($G127,"'","''")&amp;"')")&amp;", "&amp;"'"&amp;SUBSTITUTE($H127,"'","''")&amp;"'"&amp;", "&amp;IF($I127="","SYSDATETIME()","'"&amp;SUBSTITUTE($I127,"'","''")&amp;"'")&amp;" WHERE NOT EXISTS (SELECT 1 FROM Posts WHERE URL_Post = "&amp;"'"&amp;SUBSTITUTE($C127,"'","''")&amp;"'"&amp;");")</f>
        <v/>
      </c>
    </row>
    <row r="128" customFormat="false" ht="15" hidden="false" customHeight="false" outlineLevel="0" collapsed="false">
      <c r="A128" s="26"/>
      <c r="B128" s="26"/>
      <c r="C128" s="26"/>
      <c r="D128" s="26"/>
      <c r="E128" s="26"/>
      <c r="F128" s="26"/>
      <c r="G128" s="26"/>
      <c r="H128" s="28"/>
      <c r="I128" s="28"/>
      <c r="K128" s="25" t="str">
        <f aca="false">IF($A128="","","INSERT INTO Posts (Titulo_Post, Resumo, URL_Post, URL_Imagem, Fonte, ID_Categoria, ID_Autor, DataPublicacao, DataColeta) SELECT "&amp;"'"&amp;SUBSTITUTE($A128,"'","''")&amp;"'"&amp;", "&amp;IF($B128="","NULL","'"&amp;SUBSTITUTE($B128,"'","''")&amp;"'")&amp;", "&amp;"'"&amp;SUBSTITUTE($C128,"'","''")&amp;"'"&amp;", "&amp;IF($D128="","NULL","'"&amp;SUBSTITUTE($D128,"'","''")&amp;"'")&amp;", "&amp;IF($E128="","NULL","'"&amp;SUBSTITUTE($E128,"'","''")&amp;"'")&amp;", "&amp;"(SELECT ID_Categoria FROM Categorias WHERE NomeCategoria = '"&amp;SUBSTITUTE($F128,"'","''")&amp;"')"&amp;", "&amp;IF($G128="","NULL","(SELECT ID_Usuario FROM Usuario WHERE NomeUsuario = '"&amp;SUBSTITUTE($G128,"'","''")&amp;"')")&amp;", "&amp;"'"&amp;SUBSTITUTE($H128,"'","''")&amp;"'"&amp;", "&amp;IF($I128="","SYSDATETIME()","'"&amp;SUBSTITUTE($I128,"'","''")&amp;"'")&amp;" WHERE NOT EXISTS (SELECT 1 FROM Posts WHERE URL_Post = "&amp;"'"&amp;SUBSTITUTE($C128,"'","''")&amp;"'"&amp;");")</f>
        <v/>
      </c>
    </row>
    <row r="129" customFormat="false" ht="15" hidden="false" customHeight="false" outlineLevel="0" collapsed="false">
      <c r="A129" s="26"/>
      <c r="B129" s="26"/>
      <c r="C129" s="26"/>
      <c r="D129" s="26"/>
      <c r="E129" s="26"/>
      <c r="F129" s="26"/>
      <c r="G129" s="26"/>
      <c r="H129" s="28"/>
      <c r="I129" s="28"/>
      <c r="K129" s="25" t="str">
        <f aca="false">IF($A129="","","INSERT INTO Posts (Titulo_Post, Resumo, URL_Post, URL_Imagem, Fonte, ID_Categoria, ID_Autor, DataPublicacao, DataColeta) SELECT "&amp;"'"&amp;SUBSTITUTE($A129,"'","''")&amp;"'"&amp;", "&amp;IF($B129="","NULL","'"&amp;SUBSTITUTE($B129,"'","''")&amp;"'")&amp;", "&amp;"'"&amp;SUBSTITUTE($C129,"'","''")&amp;"'"&amp;", "&amp;IF($D129="","NULL","'"&amp;SUBSTITUTE($D129,"'","''")&amp;"'")&amp;", "&amp;IF($E129="","NULL","'"&amp;SUBSTITUTE($E129,"'","''")&amp;"'")&amp;", "&amp;"(SELECT ID_Categoria FROM Categorias WHERE NomeCategoria = '"&amp;SUBSTITUTE($F129,"'","''")&amp;"')"&amp;", "&amp;IF($G129="","NULL","(SELECT ID_Usuario FROM Usuario WHERE NomeUsuario = '"&amp;SUBSTITUTE($G129,"'","''")&amp;"')")&amp;", "&amp;"'"&amp;SUBSTITUTE($H129,"'","''")&amp;"'"&amp;", "&amp;IF($I129="","SYSDATETIME()","'"&amp;SUBSTITUTE($I129,"'","''")&amp;"'")&amp;" WHERE NOT EXISTS (SELECT 1 FROM Posts WHERE URL_Post = "&amp;"'"&amp;SUBSTITUTE($C129,"'","''")&amp;"'"&amp;");")</f>
        <v/>
      </c>
    </row>
    <row r="130" customFormat="false" ht="15" hidden="false" customHeight="false" outlineLevel="0" collapsed="false">
      <c r="A130" s="26"/>
      <c r="B130" s="26"/>
      <c r="C130" s="26"/>
      <c r="D130" s="26"/>
      <c r="E130" s="26"/>
      <c r="F130" s="26"/>
      <c r="G130" s="26"/>
      <c r="H130" s="28"/>
      <c r="I130" s="28"/>
      <c r="K130" s="25" t="str">
        <f aca="false">IF($A130="","","INSERT INTO Posts (Titulo_Post, Resumo, URL_Post, URL_Imagem, Fonte, ID_Categoria, ID_Autor, DataPublicacao, DataColeta) SELECT "&amp;"'"&amp;SUBSTITUTE($A130,"'","''")&amp;"'"&amp;", "&amp;IF($B130="","NULL","'"&amp;SUBSTITUTE($B130,"'","''")&amp;"'")&amp;", "&amp;"'"&amp;SUBSTITUTE($C130,"'","''")&amp;"'"&amp;", "&amp;IF($D130="","NULL","'"&amp;SUBSTITUTE($D130,"'","''")&amp;"'")&amp;", "&amp;IF($E130="","NULL","'"&amp;SUBSTITUTE($E130,"'","''")&amp;"'")&amp;", "&amp;"(SELECT ID_Categoria FROM Categorias WHERE NomeCategoria = '"&amp;SUBSTITUTE($F130,"'","''")&amp;"')"&amp;", "&amp;IF($G130="","NULL","(SELECT ID_Usuario FROM Usuario WHERE NomeUsuario = '"&amp;SUBSTITUTE($G130,"'","''")&amp;"')")&amp;", "&amp;"'"&amp;SUBSTITUTE($H130,"'","''")&amp;"'"&amp;", "&amp;IF($I130="","SYSDATETIME()","'"&amp;SUBSTITUTE($I130,"'","''")&amp;"'")&amp;" WHERE NOT EXISTS (SELECT 1 FROM Posts WHERE URL_Post = "&amp;"'"&amp;SUBSTITUTE($C130,"'","''")&amp;"'"&amp;");")</f>
        <v/>
      </c>
    </row>
    <row r="131" customFormat="false" ht="15" hidden="false" customHeight="false" outlineLevel="0" collapsed="false">
      <c r="A131" s="26"/>
      <c r="B131" s="26"/>
      <c r="C131" s="26"/>
      <c r="D131" s="26"/>
      <c r="E131" s="26"/>
      <c r="F131" s="26"/>
      <c r="G131" s="26"/>
      <c r="H131" s="28"/>
      <c r="I131" s="28"/>
      <c r="K131" s="25" t="str">
        <f aca="false">IF($A131="","","INSERT INTO Posts (Titulo_Post, Resumo, URL_Post, URL_Imagem, Fonte, ID_Categoria, ID_Autor, DataPublicacao, DataColeta) SELECT "&amp;"'"&amp;SUBSTITUTE($A131,"'","''")&amp;"'"&amp;", "&amp;IF($B131="","NULL","'"&amp;SUBSTITUTE($B131,"'","''")&amp;"'")&amp;", "&amp;"'"&amp;SUBSTITUTE($C131,"'","''")&amp;"'"&amp;", "&amp;IF($D131="","NULL","'"&amp;SUBSTITUTE($D131,"'","''")&amp;"'")&amp;", "&amp;IF($E131="","NULL","'"&amp;SUBSTITUTE($E131,"'","''")&amp;"'")&amp;", "&amp;"(SELECT ID_Categoria FROM Categorias WHERE NomeCategoria = '"&amp;SUBSTITUTE($F131,"'","''")&amp;"')"&amp;", "&amp;IF($G131="","NULL","(SELECT ID_Usuario FROM Usuario WHERE NomeUsuario = '"&amp;SUBSTITUTE($G131,"'","''")&amp;"')")&amp;", "&amp;"'"&amp;SUBSTITUTE($H131,"'","''")&amp;"'"&amp;", "&amp;IF($I131="","SYSDATETIME()","'"&amp;SUBSTITUTE($I131,"'","''")&amp;"'")&amp;" WHERE NOT EXISTS (SELECT 1 FROM Posts WHERE URL_Post = "&amp;"'"&amp;SUBSTITUTE($C131,"'","''")&amp;"'"&amp;");")</f>
        <v/>
      </c>
    </row>
    <row r="132" customFormat="false" ht="15" hidden="false" customHeight="false" outlineLevel="0" collapsed="false">
      <c r="A132" s="26"/>
      <c r="B132" s="26"/>
      <c r="C132" s="26"/>
      <c r="D132" s="26"/>
      <c r="E132" s="26"/>
      <c r="F132" s="26"/>
      <c r="G132" s="26"/>
      <c r="H132" s="28"/>
      <c r="I132" s="28"/>
      <c r="K132" s="25" t="str">
        <f aca="false">IF($A132="","","INSERT INTO Posts (Titulo_Post, Resumo, URL_Post, URL_Imagem, Fonte, ID_Categoria, ID_Autor, DataPublicacao, DataColeta) SELECT "&amp;"'"&amp;SUBSTITUTE($A132,"'","''")&amp;"'"&amp;", "&amp;IF($B132="","NULL","'"&amp;SUBSTITUTE($B132,"'","''")&amp;"'")&amp;", "&amp;"'"&amp;SUBSTITUTE($C132,"'","''")&amp;"'"&amp;", "&amp;IF($D132="","NULL","'"&amp;SUBSTITUTE($D132,"'","''")&amp;"'")&amp;", "&amp;IF($E132="","NULL","'"&amp;SUBSTITUTE($E132,"'","''")&amp;"'")&amp;", "&amp;"(SELECT ID_Categoria FROM Categorias WHERE NomeCategoria = '"&amp;SUBSTITUTE($F132,"'","''")&amp;"')"&amp;", "&amp;IF($G132="","NULL","(SELECT ID_Usuario FROM Usuario WHERE NomeUsuario = '"&amp;SUBSTITUTE($G132,"'","''")&amp;"')")&amp;", "&amp;"'"&amp;SUBSTITUTE($H132,"'","''")&amp;"'"&amp;", "&amp;IF($I132="","SYSDATETIME()","'"&amp;SUBSTITUTE($I132,"'","''")&amp;"'")&amp;" WHERE NOT EXISTS (SELECT 1 FROM Posts WHERE URL_Post = "&amp;"'"&amp;SUBSTITUTE($C132,"'","''")&amp;"'"&amp;");")</f>
        <v/>
      </c>
    </row>
    <row r="133" customFormat="false" ht="15" hidden="false" customHeight="false" outlineLevel="0" collapsed="false">
      <c r="A133" s="26"/>
      <c r="B133" s="26"/>
      <c r="C133" s="26"/>
      <c r="D133" s="26"/>
      <c r="E133" s="26"/>
      <c r="F133" s="26"/>
      <c r="G133" s="26"/>
      <c r="H133" s="28"/>
      <c r="I133" s="28"/>
      <c r="K133" s="25" t="str">
        <f aca="false">IF($A133="","","INSERT INTO Posts (Titulo_Post, Resumo, URL_Post, URL_Imagem, Fonte, ID_Categoria, ID_Autor, DataPublicacao, DataColeta) SELECT "&amp;"'"&amp;SUBSTITUTE($A133,"'","''")&amp;"'"&amp;", "&amp;IF($B133="","NULL","'"&amp;SUBSTITUTE($B133,"'","''")&amp;"'")&amp;", "&amp;"'"&amp;SUBSTITUTE($C133,"'","''")&amp;"'"&amp;", "&amp;IF($D133="","NULL","'"&amp;SUBSTITUTE($D133,"'","''")&amp;"'")&amp;", "&amp;IF($E133="","NULL","'"&amp;SUBSTITUTE($E133,"'","''")&amp;"'")&amp;", "&amp;"(SELECT ID_Categoria FROM Categorias WHERE NomeCategoria = '"&amp;SUBSTITUTE($F133,"'","''")&amp;"')"&amp;", "&amp;IF($G133="","NULL","(SELECT ID_Usuario FROM Usuario WHERE NomeUsuario = '"&amp;SUBSTITUTE($G133,"'","''")&amp;"')")&amp;", "&amp;"'"&amp;SUBSTITUTE($H133,"'","''")&amp;"'"&amp;", "&amp;IF($I133="","SYSDATETIME()","'"&amp;SUBSTITUTE($I133,"'","''")&amp;"'")&amp;" WHERE NOT EXISTS (SELECT 1 FROM Posts WHERE URL_Post = "&amp;"'"&amp;SUBSTITUTE($C133,"'","''")&amp;"'"&amp;");")</f>
        <v/>
      </c>
    </row>
    <row r="134" customFormat="false" ht="15" hidden="false" customHeight="false" outlineLevel="0" collapsed="false">
      <c r="A134" s="26"/>
      <c r="B134" s="26"/>
      <c r="C134" s="26"/>
      <c r="D134" s="26"/>
      <c r="E134" s="26"/>
      <c r="F134" s="26"/>
      <c r="G134" s="26"/>
      <c r="H134" s="28"/>
      <c r="I134" s="28"/>
      <c r="K134" s="25" t="str">
        <f aca="false">IF($A134="","","INSERT INTO Posts (Titulo_Post, Resumo, URL_Post, URL_Imagem, Fonte, ID_Categoria, ID_Autor, DataPublicacao, DataColeta) SELECT "&amp;"'"&amp;SUBSTITUTE($A134,"'","''")&amp;"'"&amp;", "&amp;IF($B134="","NULL","'"&amp;SUBSTITUTE($B134,"'","''")&amp;"'")&amp;", "&amp;"'"&amp;SUBSTITUTE($C134,"'","''")&amp;"'"&amp;", "&amp;IF($D134="","NULL","'"&amp;SUBSTITUTE($D134,"'","''")&amp;"'")&amp;", "&amp;IF($E134="","NULL","'"&amp;SUBSTITUTE($E134,"'","''")&amp;"'")&amp;", "&amp;"(SELECT ID_Categoria FROM Categorias WHERE NomeCategoria = '"&amp;SUBSTITUTE($F134,"'","''")&amp;"')"&amp;", "&amp;IF($G134="","NULL","(SELECT ID_Usuario FROM Usuario WHERE NomeUsuario = '"&amp;SUBSTITUTE($G134,"'","''")&amp;"')")&amp;", "&amp;"'"&amp;SUBSTITUTE($H134,"'","''")&amp;"'"&amp;", "&amp;IF($I134="","SYSDATETIME()","'"&amp;SUBSTITUTE($I134,"'","''")&amp;"'")&amp;" WHERE NOT EXISTS (SELECT 1 FROM Posts WHERE URL_Post = "&amp;"'"&amp;SUBSTITUTE($C134,"'","''")&amp;"'"&amp;");")</f>
        <v/>
      </c>
    </row>
    <row r="135" customFormat="false" ht="15" hidden="false" customHeight="false" outlineLevel="0" collapsed="false">
      <c r="A135" s="26"/>
      <c r="B135" s="26"/>
      <c r="C135" s="26"/>
      <c r="D135" s="26"/>
      <c r="E135" s="26"/>
      <c r="F135" s="26"/>
      <c r="G135" s="26"/>
      <c r="H135" s="28"/>
      <c r="I135" s="28"/>
      <c r="K135" s="25" t="str">
        <f aca="false">IF($A135="","","INSERT INTO Posts (Titulo_Post, Resumo, URL_Post, URL_Imagem, Fonte, ID_Categoria, ID_Autor, DataPublicacao, DataColeta) SELECT "&amp;"'"&amp;SUBSTITUTE($A135,"'","''")&amp;"'"&amp;", "&amp;IF($B135="","NULL","'"&amp;SUBSTITUTE($B135,"'","''")&amp;"'")&amp;", "&amp;"'"&amp;SUBSTITUTE($C135,"'","''")&amp;"'"&amp;", "&amp;IF($D135="","NULL","'"&amp;SUBSTITUTE($D135,"'","''")&amp;"'")&amp;", "&amp;IF($E135="","NULL","'"&amp;SUBSTITUTE($E135,"'","''")&amp;"'")&amp;", "&amp;"(SELECT ID_Categoria FROM Categorias WHERE NomeCategoria = '"&amp;SUBSTITUTE($F135,"'","''")&amp;"')"&amp;", "&amp;IF($G135="","NULL","(SELECT ID_Usuario FROM Usuario WHERE NomeUsuario = '"&amp;SUBSTITUTE($G135,"'","''")&amp;"')")&amp;", "&amp;"'"&amp;SUBSTITUTE($H135,"'","''")&amp;"'"&amp;", "&amp;IF($I135="","SYSDATETIME()","'"&amp;SUBSTITUTE($I135,"'","''")&amp;"'")&amp;" WHERE NOT EXISTS (SELECT 1 FROM Posts WHERE URL_Post = "&amp;"'"&amp;SUBSTITUTE($C135,"'","''")&amp;"'"&amp;");")</f>
        <v/>
      </c>
    </row>
    <row r="136" customFormat="false" ht="15" hidden="false" customHeight="false" outlineLevel="0" collapsed="false">
      <c r="A136" s="26"/>
      <c r="B136" s="26"/>
      <c r="C136" s="26"/>
      <c r="D136" s="26"/>
      <c r="E136" s="26"/>
      <c r="F136" s="26"/>
      <c r="G136" s="26"/>
      <c r="H136" s="28"/>
      <c r="I136" s="28"/>
      <c r="K136" s="25" t="str">
        <f aca="false">IF($A136="","","INSERT INTO Posts (Titulo_Post, Resumo, URL_Post, URL_Imagem, Fonte, ID_Categoria, ID_Autor, DataPublicacao, DataColeta) SELECT "&amp;"'"&amp;SUBSTITUTE($A136,"'","''")&amp;"'"&amp;", "&amp;IF($B136="","NULL","'"&amp;SUBSTITUTE($B136,"'","''")&amp;"'")&amp;", "&amp;"'"&amp;SUBSTITUTE($C136,"'","''")&amp;"'"&amp;", "&amp;IF($D136="","NULL","'"&amp;SUBSTITUTE($D136,"'","''")&amp;"'")&amp;", "&amp;IF($E136="","NULL","'"&amp;SUBSTITUTE($E136,"'","''")&amp;"'")&amp;", "&amp;"(SELECT ID_Categoria FROM Categorias WHERE NomeCategoria = '"&amp;SUBSTITUTE($F136,"'","''")&amp;"')"&amp;", "&amp;IF($G136="","NULL","(SELECT ID_Usuario FROM Usuario WHERE NomeUsuario = '"&amp;SUBSTITUTE($G136,"'","''")&amp;"')")&amp;", "&amp;"'"&amp;SUBSTITUTE($H136,"'","''")&amp;"'"&amp;", "&amp;IF($I136="","SYSDATETIME()","'"&amp;SUBSTITUTE($I136,"'","''")&amp;"'")&amp;" WHERE NOT EXISTS (SELECT 1 FROM Posts WHERE URL_Post = "&amp;"'"&amp;SUBSTITUTE($C136,"'","''")&amp;"'"&amp;");")</f>
        <v/>
      </c>
    </row>
    <row r="137" customFormat="false" ht="15" hidden="false" customHeight="false" outlineLevel="0" collapsed="false">
      <c r="A137" s="26"/>
      <c r="B137" s="26"/>
      <c r="C137" s="26"/>
      <c r="D137" s="26"/>
      <c r="E137" s="26"/>
      <c r="F137" s="26"/>
      <c r="G137" s="26"/>
      <c r="H137" s="28"/>
      <c r="I137" s="28"/>
      <c r="K137" s="25" t="str">
        <f aca="false">IF($A137="","","INSERT INTO Posts (Titulo_Post, Resumo, URL_Post, URL_Imagem, Fonte, ID_Categoria, ID_Autor, DataPublicacao, DataColeta) SELECT "&amp;"'"&amp;SUBSTITUTE($A137,"'","''")&amp;"'"&amp;", "&amp;IF($B137="","NULL","'"&amp;SUBSTITUTE($B137,"'","''")&amp;"'")&amp;", "&amp;"'"&amp;SUBSTITUTE($C137,"'","''")&amp;"'"&amp;", "&amp;IF($D137="","NULL","'"&amp;SUBSTITUTE($D137,"'","''")&amp;"'")&amp;", "&amp;IF($E137="","NULL","'"&amp;SUBSTITUTE($E137,"'","''")&amp;"'")&amp;", "&amp;"(SELECT ID_Categoria FROM Categorias WHERE NomeCategoria = '"&amp;SUBSTITUTE($F137,"'","''")&amp;"')"&amp;", "&amp;IF($G137="","NULL","(SELECT ID_Usuario FROM Usuario WHERE NomeUsuario = '"&amp;SUBSTITUTE($G137,"'","''")&amp;"')")&amp;", "&amp;"'"&amp;SUBSTITUTE($H137,"'","''")&amp;"'"&amp;", "&amp;IF($I137="","SYSDATETIME()","'"&amp;SUBSTITUTE($I137,"'","''")&amp;"'")&amp;" WHERE NOT EXISTS (SELECT 1 FROM Posts WHERE URL_Post = "&amp;"'"&amp;SUBSTITUTE($C137,"'","''")&amp;"'"&amp;");")</f>
        <v/>
      </c>
    </row>
    <row r="138" customFormat="false" ht="15" hidden="false" customHeight="false" outlineLevel="0" collapsed="false">
      <c r="A138" s="26"/>
      <c r="B138" s="26"/>
      <c r="C138" s="26"/>
      <c r="D138" s="26"/>
      <c r="E138" s="26"/>
      <c r="F138" s="26"/>
      <c r="G138" s="26"/>
      <c r="H138" s="28"/>
      <c r="I138" s="28"/>
      <c r="K138" s="25" t="str">
        <f aca="false">IF($A138="","","INSERT INTO Posts (Titulo_Post, Resumo, URL_Post, URL_Imagem, Fonte, ID_Categoria, ID_Autor, DataPublicacao, DataColeta) SELECT "&amp;"'"&amp;SUBSTITUTE($A138,"'","''")&amp;"'"&amp;", "&amp;IF($B138="","NULL","'"&amp;SUBSTITUTE($B138,"'","''")&amp;"'")&amp;", "&amp;"'"&amp;SUBSTITUTE($C138,"'","''")&amp;"'"&amp;", "&amp;IF($D138="","NULL","'"&amp;SUBSTITUTE($D138,"'","''")&amp;"'")&amp;", "&amp;IF($E138="","NULL","'"&amp;SUBSTITUTE($E138,"'","''")&amp;"'")&amp;", "&amp;"(SELECT ID_Categoria FROM Categorias WHERE NomeCategoria = '"&amp;SUBSTITUTE($F138,"'","''")&amp;"')"&amp;", "&amp;IF($G138="","NULL","(SELECT ID_Usuario FROM Usuario WHERE NomeUsuario = '"&amp;SUBSTITUTE($G138,"'","''")&amp;"')")&amp;", "&amp;"'"&amp;SUBSTITUTE($H138,"'","''")&amp;"'"&amp;", "&amp;IF($I138="","SYSDATETIME()","'"&amp;SUBSTITUTE($I138,"'","''")&amp;"'")&amp;" WHERE NOT EXISTS (SELECT 1 FROM Posts WHERE URL_Post = "&amp;"'"&amp;SUBSTITUTE($C138,"'","''")&amp;"'"&amp;");")</f>
        <v/>
      </c>
    </row>
    <row r="139" customFormat="false" ht="15" hidden="false" customHeight="false" outlineLevel="0" collapsed="false">
      <c r="A139" s="26"/>
      <c r="B139" s="26"/>
      <c r="C139" s="26"/>
      <c r="D139" s="26"/>
      <c r="E139" s="26"/>
      <c r="F139" s="26"/>
      <c r="G139" s="26"/>
      <c r="H139" s="28"/>
      <c r="I139" s="28"/>
      <c r="K139" s="25" t="str">
        <f aca="false">IF($A139="","","INSERT INTO Posts (Titulo_Post, Resumo, URL_Post, URL_Imagem, Fonte, ID_Categoria, ID_Autor, DataPublicacao, DataColeta) SELECT "&amp;"'"&amp;SUBSTITUTE($A139,"'","''")&amp;"'"&amp;", "&amp;IF($B139="","NULL","'"&amp;SUBSTITUTE($B139,"'","''")&amp;"'")&amp;", "&amp;"'"&amp;SUBSTITUTE($C139,"'","''")&amp;"'"&amp;", "&amp;IF($D139="","NULL","'"&amp;SUBSTITUTE($D139,"'","''")&amp;"'")&amp;", "&amp;IF($E139="","NULL","'"&amp;SUBSTITUTE($E139,"'","''")&amp;"'")&amp;", "&amp;"(SELECT ID_Categoria FROM Categorias WHERE NomeCategoria = '"&amp;SUBSTITUTE($F139,"'","''")&amp;"')"&amp;", "&amp;IF($G139="","NULL","(SELECT ID_Usuario FROM Usuario WHERE NomeUsuario = '"&amp;SUBSTITUTE($G139,"'","''")&amp;"')")&amp;", "&amp;"'"&amp;SUBSTITUTE($H139,"'","''")&amp;"'"&amp;", "&amp;IF($I139="","SYSDATETIME()","'"&amp;SUBSTITUTE($I139,"'","''")&amp;"'")&amp;" WHERE NOT EXISTS (SELECT 1 FROM Posts WHERE URL_Post = "&amp;"'"&amp;SUBSTITUTE($C139,"'","''")&amp;"'"&amp;");")</f>
        <v/>
      </c>
    </row>
    <row r="140" customFormat="false" ht="15" hidden="false" customHeight="false" outlineLevel="0" collapsed="false">
      <c r="A140" s="26"/>
      <c r="B140" s="26"/>
      <c r="C140" s="26"/>
      <c r="D140" s="26"/>
      <c r="E140" s="26"/>
      <c r="F140" s="26"/>
      <c r="G140" s="26"/>
      <c r="H140" s="28"/>
      <c r="I140" s="28"/>
      <c r="K140" s="25" t="str">
        <f aca="false">IF($A140="","","INSERT INTO Posts (Titulo_Post, Resumo, URL_Post, URL_Imagem, Fonte, ID_Categoria, ID_Autor, DataPublicacao, DataColeta) SELECT "&amp;"'"&amp;SUBSTITUTE($A140,"'","''")&amp;"'"&amp;", "&amp;IF($B140="","NULL","'"&amp;SUBSTITUTE($B140,"'","''")&amp;"'")&amp;", "&amp;"'"&amp;SUBSTITUTE($C140,"'","''")&amp;"'"&amp;", "&amp;IF($D140="","NULL","'"&amp;SUBSTITUTE($D140,"'","''")&amp;"'")&amp;", "&amp;IF($E140="","NULL","'"&amp;SUBSTITUTE($E140,"'","''")&amp;"'")&amp;", "&amp;"(SELECT ID_Categoria FROM Categorias WHERE NomeCategoria = '"&amp;SUBSTITUTE($F140,"'","''")&amp;"')"&amp;", "&amp;IF($G140="","NULL","(SELECT ID_Usuario FROM Usuario WHERE NomeUsuario = '"&amp;SUBSTITUTE($G140,"'","''")&amp;"')")&amp;", "&amp;"'"&amp;SUBSTITUTE($H140,"'","''")&amp;"'"&amp;", "&amp;IF($I140="","SYSDATETIME()","'"&amp;SUBSTITUTE($I140,"'","''")&amp;"'")&amp;" WHERE NOT EXISTS (SELECT 1 FROM Posts WHERE URL_Post = "&amp;"'"&amp;SUBSTITUTE($C140,"'","''")&amp;"'"&amp;");")</f>
        <v/>
      </c>
    </row>
    <row r="141" customFormat="false" ht="15" hidden="false" customHeight="false" outlineLevel="0" collapsed="false">
      <c r="A141" s="26"/>
      <c r="B141" s="26"/>
      <c r="C141" s="26"/>
      <c r="D141" s="26"/>
      <c r="E141" s="26"/>
      <c r="F141" s="26"/>
      <c r="G141" s="26"/>
      <c r="H141" s="28"/>
      <c r="I141" s="28"/>
      <c r="K141" s="25" t="str">
        <f aca="false">IF($A141="","","INSERT INTO Posts (Titulo_Post, Resumo, URL_Post, URL_Imagem, Fonte, ID_Categoria, ID_Autor, DataPublicacao, DataColeta) SELECT "&amp;"'"&amp;SUBSTITUTE($A141,"'","''")&amp;"'"&amp;", "&amp;IF($B141="","NULL","'"&amp;SUBSTITUTE($B141,"'","''")&amp;"'")&amp;", "&amp;"'"&amp;SUBSTITUTE($C141,"'","''")&amp;"'"&amp;", "&amp;IF($D141="","NULL","'"&amp;SUBSTITUTE($D141,"'","''")&amp;"'")&amp;", "&amp;IF($E141="","NULL","'"&amp;SUBSTITUTE($E141,"'","''")&amp;"'")&amp;", "&amp;"(SELECT ID_Categoria FROM Categorias WHERE NomeCategoria = '"&amp;SUBSTITUTE($F141,"'","''")&amp;"')"&amp;", "&amp;IF($G141="","NULL","(SELECT ID_Usuario FROM Usuario WHERE NomeUsuario = '"&amp;SUBSTITUTE($G141,"'","''")&amp;"')")&amp;", "&amp;"'"&amp;SUBSTITUTE($H141,"'","''")&amp;"'"&amp;", "&amp;IF($I141="","SYSDATETIME()","'"&amp;SUBSTITUTE($I141,"'","''")&amp;"'")&amp;" WHERE NOT EXISTS (SELECT 1 FROM Posts WHERE URL_Post = "&amp;"'"&amp;SUBSTITUTE($C141,"'","''")&amp;"'"&amp;");")</f>
        <v/>
      </c>
    </row>
    <row r="142" customFormat="false" ht="15" hidden="false" customHeight="false" outlineLevel="0" collapsed="false">
      <c r="A142" s="26"/>
      <c r="B142" s="26"/>
      <c r="C142" s="26"/>
      <c r="D142" s="26"/>
      <c r="E142" s="26"/>
      <c r="F142" s="26"/>
      <c r="G142" s="26"/>
      <c r="H142" s="28"/>
      <c r="I142" s="28"/>
      <c r="K142" s="25" t="str">
        <f aca="false">IF($A142="","","INSERT INTO Posts (Titulo_Post, Resumo, URL_Post, URL_Imagem, Fonte, ID_Categoria, ID_Autor, DataPublicacao, DataColeta) SELECT "&amp;"'"&amp;SUBSTITUTE($A142,"'","''")&amp;"'"&amp;", "&amp;IF($B142="","NULL","'"&amp;SUBSTITUTE($B142,"'","''")&amp;"'")&amp;", "&amp;"'"&amp;SUBSTITUTE($C142,"'","''")&amp;"'"&amp;", "&amp;IF($D142="","NULL","'"&amp;SUBSTITUTE($D142,"'","''")&amp;"'")&amp;", "&amp;IF($E142="","NULL","'"&amp;SUBSTITUTE($E142,"'","''")&amp;"'")&amp;", "&amp;"(SELECT ID_Categoria FROM Categorias WHERE NomeCategoria = '"&amp;SUBSTITUTE($F142,"'","''")&amp;"')"&amp;", "&amp;IF($G142="","NULL","(SELECT ID_Usuario FROM Usuario WHERE NomeUsuario = '"&amp;SUBSTITUTE($G142,"'","''")&amp;"')")&amp;", "&amp;"'"&amp;SUBSTITUTE($H142,"'","''")&amp;"'"&amp;", "&amp;IF($I142="","SYSDATETIME()","'"&amp;SUBSTITUTE($I142,"'","''")&amp;"'")&amp;" WHERE NOT EXISTS (SELECT 1 FROM Posts WHERE URL_Post = "&amp;"'"&amp;SUBSTITUTE($C142,"'","''")&amp;"'"&amp;");")</f>
        <v/>
      </c>
    </row>
    <row r="143" customFormat="false" ht="15" hidden="false" customHeight="false" outlineLevel="0" collapsed="false">
      <c r="A143" s="26"/>
      <c r="B143" s="26"/>
      <c r="C143" s="26"/>
      <c r="D143" s="26"/>
      <c r="E143" s="26"/>
      <c r="F143" s="26"/>
      <c r="G143" s="26"/>
      <c r="H143" s="28"/>
      <c r="I143" s="28"/>
      <c r="K143" s="25" t="str">
        <f aca="false">IF($A143="","","INSERT INTO Posts (Titulo_Post, Resumo, URL_Post, URL_Imagem, Fonte, ID_Categoria, ID_Autor, DataPublicacao, DataColeta) SELECT "&amp;"'"&amp;SUBSTITUTE($A143,"'","''")&amp;"'"&amp;", "&amp;IF($B143="","NULL","'"&amp;SUBSTITUTE($B143,"'","''")&amp;"'")&amp;", "&amp;"'"&amp;SUBSTITUTE($C143,"'","''")&amp;"'"&amp;", "&amp;IF($D143="","NULL","'"&amp;SUBSTITUTE($D143,"'","''")&amp;"'")&amp;", "&amp;IF($E143="","NULL","'"&amp;SUBSTITUTE($E143,"'","''")&amp;"'")&amp;", "&amp;"(SELECT ID_Categoria FROM Categorias WHERE NomeCategoria = '"&amp;SUBSTITUTE($F143,"'","''")&amp;"')"&amp;", "&amp;IF($G143="","NULL","(SELECT ID_Usuario FROM Usuario WHERE NomeUsuario = '"&amp;SUBSTITUTE($G143,"'","''")&amp;"')")&amp;", "&amp;"'"&amp;SUBSTITUTE($H143,"'","''")&amp;"'"&amp;", "&amp;IF($I143="","SYSDATETIME()","'"&amp;SUBSTITUTE($I143,"'","''")&amp;"'")&amp;" WHERE NOT EXISTS (SELECT 1 FROM Posts WHERE URL_Post = "&amp;"'"&amp;SUBSTITUTE($C143,"'","''")&amp;"'"&amp;");")</f>
        <v/>
      </c>
    </row>
    <row r="144" customFormat="false" ht="15" hidden="false" customHeight="false" outlineLevel="0" collapsed="false">
      <c r="A144" s="26"/>
      <c r="B144" s="26"/>
      <c r="C144" s="26"/>
      <c r="D144" s="26"/>
      <c r="E144" s="26"/>
      <c r="F144" s="26"/>
      <c r="G144" s="26"/>
      <c r="H144" s="28"/>
      <c r="I144" s="28"/>
      <c r="K144" s="25" t="str">
        <f aca="false">IF($A144="","","INSERT INTO Posts (Titulo_Post, Resumo, URL_Post, URL_Imagem, Fonte, ID_Categoria, ID_Autor, DataPublicacao, DataColeta) SELECT "&amp;"'"&amp;SUBSTITUTE($A144,"'","''")&amp;"'"&amp;", "&amp;IF($B144="","NULL","'"&amp;SUBSTITUTE($B144,"'","''")&amp;"'")&amp;", "&amp;"'"&amp;SUBSTITUTE($C144,"'","''")&amp;"'"&amp;", "&amp;IF($D144="","NULL","'"&amp;SUBSTITUTE($D144,"'","''")&amp;"'")&amp;", "&amp;IF($E144="","NULL","'"&amp;SUBSTITUTE($E144,"'","''")&amp;"'")&amp;", "&amp;"(SELECT ID_Categoria FROM Categorias WHERE NomeCategoria = '"&amp;SUBSTITUTE($F144,"'","''")&amp;"')"&amp;", "&amp;IF($G144="","NULL","(SELECT ID_Usuario FROM Usuario WHERE NomeUsuario = '"&amp;SUBSTITUTE($G144,"'","''")&amp;"')")&amp;", "&amp;"'"&amp;SUBSTITUTE($H144,"'","''")&amp;"'"&amp;", "&amp;IF($I144="","SYSDATETIME()","'"&amp;SUBSTITUTE($I144,"'","''")&amp;"'")&amp;" WHERE NOT EXISTS (SELECT 1 FROM Posts WHERE URL_Post = "&amp;"'"&amp;SUBSTITUTE($C144,"'","''")&amp;"'"&amp;");")</f>
        <v/>
      </c>
    </row>
    <row r="145" customFormat="false" ht="15" hidden="false" customHeight="false" outlineLevel="0" collapsed="false">
      <c r="A145" s="26"/>
      <c r="B145" s="26"/>
      <c r="C145" s="26"/>
      <c r="D145" s="26"/>
      <c r="E145" s="26"/>
      <c r="F145" s="26"/>
      <c r="G145" s="26"/>
      <c r="H145" s="28"/>
      <c r="I145" s="28"/>
      <c r="K145" s="25" t="str">
        <f aca="false">IF($A145="","","INSERT INTO Posts (Titulo_Post, Resumo, URL_Post, URL_Imagem, Fonte, ID_Categoria, ID_Autor, DataPublicacao, DataColeta) SELECT "&amp;"'"&amp;SUBSTITUTE($A145,"'","''")&amp;"'"&amp;", "&amp;IF($B145="","NULL","'"&amp;SUBSTITUTE($B145,"'","''")&amp;"'")&amp;", "&amp;"'"&amp;SUBSTITUTE($C145,"'","''")&amp;"'"&amp;", "&amp;IF($D145="","NULL","'"&amp;SUBSTITUTE($D145,"'","''")&amp;"'")&amp;", "&amp;IF($E145="","NULL","'"&amp;SUBSTITUTE($E145,"'","''")&amp;"'")&amp;", "&amp;"(SELECT ID_Categoria FROM Categorias WHERE NomeCategoria = '"&amp;SUBSTITUTE($F145,"'","''")&amp;"')"&amp;", "&amp;IF($G145="","NULL","(SELECT ID_Usuario FROM Usuario WHERE NomeUsuario = '"&amp;SUBSTITUTE($G145,"'","''")&amp;"')")&amp;", "&amp;"'"&amp;SUBSTITUTE($H145,"'","''")&amp;"'"&amp;", "&amp;IF($I145="","SYSDATETIME()","'"&amp;SUBSTITUTE($I145,"'","''")&amp;"'")&amp;" WHERE NOT EXISTS (SELECT 1 FROM Posts WHERE URL_Post = "&amp;"'"&amp;SUBSTITUTE($C145,"'","''")&amp;"'"&amp;");")</f>
        <v/>
      </c>
    </row>
    <row r="146" customFormat="false" ht="15" hidden="false" customHeight="false" outlineLevel="0" collapsed="false">
      <c r="A146" s="26"/>
      <c r="B146" s="26"/>
      <c r="C146" s="26"/>
      <c r="D146" s="26"/>
      <c r="E146" s="26"/>
      <c r="F146" s="26"/>
      <c r="G146" s="26"/>
      <c r="H146" s="28"/>
      <c r="I146" s="28"/>
      <c r="K146" s="25" t="str">
        <f aca="false">IF($A146="","","INSERT INTO Posts (Titulo_Post, Resumo, URL_Post, URL_Imagem, Fonte, ID_Categoria, ID_Autor, DataPublicacao, DataColeta) SELECT "&amp;"'"&amp;SUBSTITUTE($A146,"'","''")&amp;"'"&amp;", "&amp;IF($B146="","NULL","'"&amp;SUBSTITUTE($B146,"'","''")&amp;"'")&amp;", "&amp;"'"&amp;SUBSTITUTE($C146,"'","''")&amp;"'"&amp;", "&amp;IF($D146="","NULL","'"&amp;SUBSTITUTE($D146,"'","''")&amp;"'")&amp;", "&amp;IF($E146="","NULL","'"&amp;SUBSTITUTE($E146,"'","''")&amp;"'")&amp;", "&amp;"(SELECT ID_Categoria FROM Categorias WHERE NomeCategoria = '"&amp;SUBSTITUTE($F146,"'","''")&amp;"')"&amp;", "&amp;IF($G146="","NULL","(SELECT ID_Usuario FROM Usuario WHERE NomeUsuario = '"&amp;SUBSTITUTE($G146,"'","''")&amp;"')")&amp;", "&amp;"'"&amp;SUBSTITUTE($H146,"'","''")&amp;"'"&amp;", "&amp;IF($I146="","SYSDATETIME()","'"&amp;SUBSTITUTE($I146,"'","''")&amp;"'")&amp;" WHERE NOT EXISTS (SELECT 1 FROM Posts WHERE URL_Post = "&amp;"'"&amp;SUBSTITUTE($C146,"'","''")&amp;"'"&amp;");")</f>
        <v/>
      </c>
    </row>
    <row r="147" customFormat="false" ht="15" hidden="false" customHeight="false" outlineLevel="0" collapsed="false">
      <c r="A147" s="26"/>
      <c r="B147" s="26"/>
      <c r="C147" s="26"/>
      <c r="D147" s="26"/>
      <c r="E147" s="26"/>
      <c r="F147" s="26"/>
      <c r="G147" s="26"/>
      <c r="H147" s="28"/>
      <c r="I147" s="28"/>
      <c r="K147" s="25" t="str">
        <f aca="false">IF($A147="","","INSERT INTO Posts (Titulo_Post, Resumo, URL_Post, URL_Imagem, Fonte, ID_Categoria, ID_Autor, DataPublicacao, DataColeta) SELECT "&amp;"'"&amp;SUBSTITUTE($A147,"'","''")&amp;"'"&amp;", "&amp;IF($B147="","NULL","'"&amp;SUBSTITUTE($B147,"'","''")&amp;"'")&amp;", "&amp;"'"&amp;SUBSTITUTE($C147,"'","''")&amp;"'"&amp;", "&amp;IF($D147="","NULL","'"&amp;SUBSTITUTE($D147,"'","''")&amp;"'")&amp;", "&amp;IF($E147="","NULL","'"&amp;SUBSTITUTE($E147,"'","''")&amp;"'")&amp;", "&amp;"(SELECT ID_Categoria FROM Categorias WHERE NomeCategoria = '"&amp;SUBSTITUTE($F147,"'","''")&amp;"')"&amp;", "&amp;IF($G147="","NULL","(SELECT ID_Usuario FROM Usuario WHERE NomeUsuario = '"&amp;SUBSTITUTE($G147,"'","''")&amp;"')")&amp;", "&amp;"'"&amp;SUBSTITUTE($H147,"'","''")&amp;"'"&amp;", "&amp;IF($I147="","SYSDATETIME()","'"&amp;SUBSTITUTE($I147,"'","''")&amp;"'")&amp;" WHERE NOT EXISTS (SELECT 1 FROM Posts WHERE URL_Post = "&amp;"'"&amp;SUBSTITUTE($C147,"'","''")&amp;"'"&amp;");")</f>
        <v/>
      </c>
    </row>
    <row r="148" customFormat="false" ht="15" hidden="false" customHeight="false" outlineLevel="0" collapsed="false">
      <c r="A148" s="26"/>
      <c r="B148" s="26"/>
      <c r="C148" s="26"/>
      <c r="D148" s="26"/>
      <c r="E148" s="26"/>
      <c r="F148" s="26"/>
      <c r="G148" s="26"/>
      <c r="H148" s="28"/>
      <c r="I148" s="28"/>
      <c r="K148" s="25" t="str">
        <f aca="false">IF($A148="","","INSERT INTO Posts (Titulo_Post, Resumo, URL_Post, URL_Imagem, Fonte, ID_Categoria, ID_Autor, DataPublicacao, DataColeta) SELECT "&amp;"'"&amp;SUBSTITUTE($A148,"'","''")&amp;"'"&amp;", "&amp;IF($B148="","NULL","'"&amp;SUBSTITUTE($B148,"'","''")&amp;"'")&amp;", "&amp;"'"&amp;SUBSTITUTE($C148,"'","''")&amp;"'"&amp;", "&amp;IF($D148="","NULL","'"&amp;SUBSTITUTE($D148,"'","''")&amp;"'")&amp;", "&amp;IF($E148="","NULL","'"&amp;SUBSTITUTE($E148,"'","''")&amp;"'")&amp;", "&amp;"(SELECT ID_Categoria FROM Categorias WHERE NomeCategoria = '"&amp;SUBSTITUTE($F148,"'","''")&amp;"')"&amp;", "&amp;IF($G148="","NULL","(SELECT ID_Usuario FROM Usuario WHERE NomeUsuario = '"&amp;SUBSTITUTE($G148,"'","''")&amp;"')")&amp;", "&amp;"'"&amp;SUBSTITUTE($H148,"'","''")&amp;"'"&amp;", "&amp;IF($I148="","SYSDATETIME()","'"&amp;SUBSTITUTE($I148,"'","''")&amp;"'")&amp;" WHERE NOT EXISTS (SELECT 1 FROM Posts WHERE URL_Post = "&amp;"'"&amp;SUBSTITUTE($C148,"'","''")&amp;"'"&amp;");")</f>
        <v/>
      </c>
    </row>
    <row r="149" customFormat="false" ht="15" hidden="false" customHeight="false" outlineLevel="0" collapsed="false">
      <c r="A149" s="26"/>
      <c r="B149" s="26"/>
      <c r="C149" s="26"/>
      <c r="D149" s="26"/>
      <c r="E149" s="26"/>
      <c r="F149" s="26"/>
      <c r="G149" s="26"/>
      <c r="H149" s="28"/>
      <c r="I149" s="28"/>
      <c r="K149" s="25" t="str">
        <f aca="false">IF($A149="","","INSERT INTO Posts (Titulo_Post, Resumo, URL_Post, URL_Imagem, Fonte, ID_Categoria, ID_Autor, DataPublicacao, DataColeta) SELECT "&amp;"'"&amp;SUBSTITUTE($A149,"'","''")&amp;"'"&amp;", "&amp;IF($B149="","NULL","'"&amp;SUBSTITUTE($B149,"'","''")&amp;"'")&amp;", "&amp;"'"&amp;SUBSTITUTE($C149,"'","''")&amp;"'"&amp;", "&amp;IF($D149="","NULL","'"&amp;SUBSTITUTE($D149,"'","''")&amp;"'")&amp;", "&amp;IF($E149="","NULL","'"&amp;SUBSTITUTE($E149,"'","''")&amp;"'")&amp;", "&amp;"(SELECT ID_Categoria FROM Categorias WHERE NomeCategoria = '"&amp;SUBSTITUTE($F149,"'","''")&amp;"')"&amp;", "&amp;IF($G149="","NULL","(SELECT ID_Usuario FROM Usuario WHERE NomeUsuario = '"&amp;SUBSTITUTE($G149,"'","''")&amp;"')")&amp;", "&amp;"'"&amp;SUBSTITUTE($H149,"'","''")&amp;"'"&amp;", "&amp;IF($I149="","SYSDATETIME()","'"&amp;SUBSTITUTE($I149,"'","''")&amp;"'")&amp;" WHERE NOT EXISTS (SELECT 1 FROM Posts WHERE URL_Post = "&amp;"'"&amp;SUBSTITUTE($C149,"'","''")&amp;"'"&amp;");")</f>
        <v/>
      </c>
    </row>
    <row r="150" customFormat="false" ht="15" hidden="false" customHeight="false" outlineLevel="0" collapsed="false">
      <c r="A150" s="26"/>
      <c r="B150" s="26"/>
      <c r="C150" s="26"/>
      <c r="D150" s="26"/>
      <c r="E150" s="26"/>
      <c r="F150" s="26"/>
      <c r="G150" s="26"/>
      <c r="H150" s="28"/>
      <c r="I150" s="28"/>
      <c r="K150" s="25" t="str">
        <f aca="false">IF($A150="","","INSERT INTO Posts (Titulo_Post, Resumo, URL_Post, URL_Imagem, Fonte, ID_Categoria, ID_Autor, DataPublicacao, DataColeta) SELECT "&amp;"'"&amp;SUBSTITUTE($A150,"'","''")&amp;"'"&amp;", "&amp;IF($B150="","NULL","'"&amp;SUBSTITUTE($B150,"'","''")&amp;"'")&amp;", "&amp;"'"&amp;SUBSTITUTE($C150,"'","''")&amp;"'"&amp;", "&amp;IF($D150="","NULL","'"&amp;SUBSTITUTE($D150,"'","''")&amp;"'")&amp;", "&amp;IF($E150="","NULL","'"&amp;SUBSTITUTE($E150,"'","''")&amp;"'")&amp;", "&amp;"(SELECT ID_Categoria FROM Categorias WHERE NomeCategoria = '"&amp;SUBSTITUTE($F150,"'","''")&amp;"')"&amp;", "&amp;IF($G150="","NULL","(SELECT ID_Usuario FROM Usuario WHERE NomeUsuario = '"&amp;SUBSTITUTE($G150,"'","''")&amp;"')")&amp;", "&amp;"'"&amp;SUBSTITUTE($H150,"'","''")&amp;"'"&amp;", "&amp;IF($I150="","SYSDATETIME()","'"&amp;SUBSTITUTE($I150,"'","''")&amp;"'")&amp;" WHERE NOT EXISTS (SELECT 1 FROM Posts WHERE URL_Post = "&amp;"'"&amp;SUBSTITUTE($C150,"'","''")&amp;"'"&amp;");")</f>
        <v/>
      </c>
    </row>
    <row r="151" customFormat="false" ht="15" hidden="false" customHeight="false" outlineLevel="0" collapsed="false">
      <c r="A151" s="26"/>
      <c r="B151" s="26"/>
      <c r="C151" s="26"/>
      <c r="D151" s="26"/>
      <c r="E151" s="26"/>
      <c r="F151" s="26"/>
      <c r="G151" s="26"/>
      <c r="H151" s="28"/>
      <c r="I151" s="28"/>
      <c r="K151" s="25" t="str">
        <f aca="false">IF($A151="","","INSERT INTO Posts (Titulo_Post, Resumo, URL_Post, URL_Imagem, Fonte, ID_Categoria, ID_Autor, DataPublicacao, DataColeta) SELECT "&amp;"'"&amp;SUBSTITUTE($A151,"'","''")&amp;"'"&amp;", "&amp;IF($B151="","NULL","'"&amp;SUBSTITUTE($B151,"'","''")&amp;"'")&amp;", "&amp;"'"&amp;SUBSTITUTE($C151,"'","''")&amp;"'"&amp;", "&amp;IF($D151="","NULL","'"&amp;SUBSTITUTE($D151,"'","''")&amp;"'")&amp;", "&amp;IF($E151="","NULL","'"&amp;SUBSTITUTE($E151,"'","''")&amp;"'")&amp;", "&amp;"(SELECT ID_Categoria FROM Categorias WHERE NomeCategoria = '"&amp;SUBSTITUTE($F151,"'","''")&amp;"')"&amp;", "&amp;IF($G151="","NULL","(SELECT ID_Usuario FROM Usuario WHERE NomeUsuario = '"&amp;SUBSTITUTE($G151,"'","''")&amp;"')")&amp;", "&amp;"'"&amp;SUBSTITUTE($H151,"'","''")&amp;"'"&amp;", "&amp;IF($I151="","SYSDATETIME()","'"&amp;SUBSTITUTE($I151,"'","''")&amp;"'")&amp;" WHERE NOT EXISTS (SELECT 1 FROM Posts WHERE URL_Post = "&amp;"'"&amp;SUBSTITUTE($C151,"'","''")&amp;"'"&amp;");")</f>
        <v/>
      </c>
    </row>
    <row r="152" customFormat="false" ht="15" hidden="false" customHeight="false" outlineLevel="0" collapsed="false">
      <c r="A152" s="26"/>
      <c r="B152" s="26"/>
      <c r="C152" s="26"/>
      <c r="D152" s="26"/>
      <c r="E152" s="26"/>
      <c r="F152" s="26"/>
      <c r="G152" s="26"/>
      <c r="H152" s="28"/>
      <c r="I152" s="28"/>
      <c r="K152" s="25" t="str">
        <f aca="false">IF($A152="","","INSERT INTO Posts (Titulo_Post, Resumo, URL_Post, URL_Imagem, Fonte, ID_Categoria, ID_Autor, DataPublicacao, DataColeta) SELECT "&amp;"'"&amp;SUBSTITUTE($A152,"'","''")&amp;"'"&amp;", "&amp;IF($B152="","NULL","'"&amp;SUBSTITUTE($B152,"'","''")&amp;"'")&amp;", "&amp;"'"&amp;SUBSTITUTE($C152,"'","''")&amp;"'"&amp;", "&amp;IF($D152="","NULL","'"&amp;SUBSTITUTE($D152,"'","''")&amp;"'")&amp;", "&amp;IF($E152="","NULL","'"&amp;SUBSTITUTE($E152,"'","''")&amp;"'")&amp;", "&amp;"(SELECT ID_Categoria FROM Categorias WHERE NomeCategoria = '"&amp;SUBSTITUTE($F152,"'","''")&amp;"')"&amp;", "&amp;IF($G152="","NULL","(SELECT ID_Usuario FROM Usuario WHERE NomeUsuario = '"&amp;SUBSTITUTE($G152,"'","''")&amp;"')")&amp;", "&amp;"'"&amp;SUBSTITUTE($H152,"'","''")&amp;"'"&amp;", "&amp;IF($I152="","SYSDATETIME()","'"&amp;SUBSTITUTE($I152,"'","''")&amp;"'")&amp;" WHERE NOT EXISTS (SELECT 1 FROM Posts WHERE URL_Post = "&amp;"'"&amp;SUBSTITUTE($C152,"'","''")&amp;"'"&amp;");")</f>
        <v/>
      </c>
    </row>
    <row r="153" customFormat="false" ht="15" hidden="false" customHeight="false" outlineLevel="0" collapsed="false">
      <c r="A153" s="26"/>
      <c r="B153" s="26"/>
      <c r="C153" s="26"/>
      <c r="D153" s="26"/>
      <c r="E153" s="26"/>
      <c r="F153" s="26"/>
      <c r="G153" s="26"/>
      <c r="H153" s="28"/>
      <c r="I153" s="28"/>
      <c r="K153" s="25" t="str">
        <f aca="false">IF($A153="","","INSERT INTO Posts (Titulo_Post, Resumo, URL_Post, URL_Imagem, Fonte, ID_Categoria, ID_Autor, DataPublicacao, DataColeta) SELECT "&amp;"'"&amp;SUBSTITUTE($A153,"'","''")&amp;"'"&amp;", "&amp;IF($B153="","NULL","'"&amp;SUBSTITUTE($B153,"'","''")&amp;"'")&amp;", "&amp;"'"&amp;SUBSTITUTE($C153,"'","''")&amp;"'"&amp;", "&amp;IF($D153="","NULL","'"&amp;SUBSTITUTE($D153,"'","''")&amp;"'")&amp;", "&amp;IF($E153="","NULL","'"&amp;SUBSTITUTE($E153,"'","''")&amp;"'")&amp;", "&amp;"(SELECT ID_Categoria FROM Categorias WHERE NomeCategoria = '"&amp;SUBSTITUTE($F153,"'","''")&amp;"')"&amp;", "&amp;IF($G153="","NULL","(SELECT ID_Usuario FROM Usuario WHERE NomeUsuario = '"&amp;SUBSTITUTE($G153,"'","''")&amp;"')")&amp;", "&amp;"'"&amp;SUBSTITUTE($H153,"'","''")&amp;"'"&amp;", "&amp;IF($I153="","SYSDATETIME()","'"&amp;SUBSTITUTE($I153,"'","''")&amp;"'")&amp;" WHERE NOT EXISTS (SELECT 1 FROM Posts WHERE URL_Post = "&amp;"'"&amp;SUBSTITUTE($C153,"'","''")&amp;"'"&amp;");")</f>
        <v/>
      </c>
    </row>
    <row r="154" customFormat="false" ht="15" hidden="false" customHeight="false" outlineLevel="0" collapsed="false">
      <c r="A154" s="26"/>
      <c r="B154" s="26"/>
      <c r="C154" s="26"/>
      <c r="D154" s="26"/>
      <c r="E154" s="26"/>
      <c r="F154" s="26"/>
      <c r="G154" s="26"/>
      <c r="H154" s="28"/>
      <c r="I154" s="28"/>
      <c r="K154" s="25" t="str">
        <f aca="false">IF($A154="","","INSERT INTO Posts (Titulo_Post, Resumo, URL_Post, URL_Imagem, Fonte, ID_Categoria, ID_Autor, DataPublicacao, DataColeta) SELECT "&amp;"'"&amp;SUBSTITUTE($A154,"'","''")&amp;"'"&amp;", "&amp;IF($B154="","NULL","'"&amp;SUBSTITUTE($B154,"'","''")&amp;"'")&amp;", "&amp;"'"&amp;SUBSTITUTE($C154,"'","''")&amp;"'"&amp;", "&amp;IF($D154="","NULL","'"&amp;SUBSTITUTE($D154,"'","''")&amp;"'")&amp;", "&amp;IF($E154="","NULL","'"&amp;SUBSTITUTE($E154,"'","''")&amp;"'")&amp;", "&amp;"(SELECT ID_Categoria FROM Categorias WHERE NomeCategoria = '"&amp;SUBSTITUTE($F154,"'","''")&amp;"')"&amp;", "&amp;IF($G154="","NULL","(SELECT ID_Usuario FROM Usuario WHERE NomeUsuario = '"&amp;SUBSTITUTE($G154,"'","''")&amp;"')")&amp;", "&amp;"'"&amp;SUBSTITUTE($H154,"'","''")&amp;"'"&amp;", "&amp;IF($I154="","SYSDATETIME()","'"&amp;SUBSTITUTE($I154,"'","''")&amp;"'")&amp;" WHERE NOT EXISTS (SELECT 1 FROM Posts WHERE URL_Post = "&amp;"'"&amp;SUBSTITUTE($C154,"'","''")&amp;"'"&amp;");")</f>
        <v/>
      </c>
    </row>
    <row r="155" customFormat="false" ht="15" hidden="false" customHeight="false" outlineLevel="0" collapsed="false">
      <c r="A155" s="26"/>
      <c r="B155" s="26"/>
      <c r="C155" s="26"/>
      <c r="D155" s="26"/>
      <c r="E155" s="26"/>
      <c r="F155" s="26"/>
      <c r="G155" s="26"/>
      <c r="H155" s="28"/>
      <c r="I155" s="28"/>
      <c r="K155" s="25" t="str">
        <f aca="false">IF($A155="","","INSERT INTO Posts (Titulo_Post, Resumo, URL_Post, URL_Imagem, Fonte, ID_Categoria, ID_Autor, DataPublicacao, DataColeta) SELECT "&amp;"'"&amp;SUBSTITUTE($A155,"'","''")&amp;"'"&amp;", "&amp;IF($B155="","NULL","'"&amp;SUBSTITUTE($B155,"'","''")&amp;"'")&amp;", "&amp;"'"&amp;SUBSTITUTE($C155,"'","''")&amp;"'"&amp;", "&amp;IF($D155="","NULL","'"&amp;SUBSTITUTE($D155,"'","''")&amp;"'")&amp;", "&amp;IF($E155="","NULL","'"&amp;SUBSTITUTE($E155,"'","''")&amp;"'")&amp;", "&amp;"(SELECT ID_Categoria FROM Categorias WHERE NomeCategoria = '"&amp;SUBSTITUTE($F155,"'","''")&amp;"')"&amp;", "&amp;IF($G155="","NULL","(SELECT ID_Usuario FROM Usuario WHERE NomeUsuario = '"&amp;SUBSTITUTE($G155,"'","''")&amp;"')")&amp;", "&amp;"'"&amp;SUBSTITUTE($H155,"'","''")&amp;"'"&amp;", "&amp;IF($I155="","SYSDATETIME()","'"&amp;SUBSTITUTE($I155,"'","''")&amp;"'")&amp;" WHERE NOT EXISTS (SELECT 1 FROM Posts WHERE URL_Post = "&amp;"'"&amp;SUBSTITUTE($C155,"'","''")&amp;"'"&amp;");")</f>
        <v/>
      </c>
    </row>
    <row r="156" customFormat="false" ht="15" hidden="false" customHeight="false" outlineLevel="0" collapsed="false">
      <c r="A156" s="26"/>
      <c r="B156" s="26"/>
      <c r="C156" s="26"/>
      <c r="D156" s="26"/>
      <c r="E156" s="26"/>
      <c r="F156" s="26"/>
      <c r="G156" s="26"/>
      <c r="H156" s="28"/>
      <c r="I156" s="28"/>
      <c r="K156" s="25" t="str">
        <f aca="false">IF($A156="","","INSERT INTO Posts (Titulo_Post, Resumo, URL_Post, URL_Imagem, Fonte, ID_Categoria, ID_Autor, DataPublicacao, DataColeta) SELECT "&amp;"'"&amp;SUBSTITUTE($A156,"'","''")&amp;"'"&amp;", "&amp;IF($B156="","NULL","'"&amp;SUBSTITUTE($B156,"'","''")&amp;"'")&amp;", "&amp;"'"&amp;SUBSTITUTE($C156,"'","''")&amp;"'"&amp;", "&amp;IF($D156="","NULL","'"&amp;SUBSTITUTE($D156,"'","''")&amp;"'")&amp;", "&amp;IF($E156="","NULL","'"&amp;SUBSTITUTE($E156,"'","''")&amp;"'")&amp;", "&amp;"(SELECT ID_Categoria FROM Categorias WHERE NomeCategoria = '"&amp;SUBSTITUTE($F156,"'","''")&amp;"')"&amp;", "&amp;IF($G156="","NULL","(SELECT ID_Usuario FROM Usuario WHERE NomeUsuario = '"&amp;SUBSTITUTE($G156,"'","''")&amp;"')")&amp;", "&amp;"'"&amp;SUBSTITUTE($H156,"'","''")&amp;"'"&amp;", "&amp;IF($I156="","SYSDATETIME()","'"&amp;SUBSTITUTE($I156,"'","''")&amp;"'")&amp;" WHERE NOT EXISTS (SELECT 1 FROM Posts WHERE URL_Post = "&amp;"'"&amp;SUBSTITUTE($C156,"'","''")&amp;"'"&amp;");")</f>
        <v/>
      </c>
    </row>
    <row r="157" customFormat="false" ht="15" hidden="false" customHeight="false" outlineLevel="0" collapsed="false">
      <c r="A157" s="26"/>
      <c r="B157" s="26"/>
      <c r="C157" s="26"/>
      <c r="D157" s="26"/>
      <c r="E157" s="26"/>
      <c r="F157" s="26"/>
      <c r="G157" s="26"/>
      <c r="H157" s="28"/>
      <c r="I157" s="28"/>
      <c r="K157" s="25" t="str">
        <f aca="false">IF($A157="","","INSERT INTO Posts (Titulo_Post, Resumo, URL_Post, URL_Imagem, Fonte, ID_Categoria, ID_Autor, DataPublicacao, DataColeta) SELECT "&amp;"'"&amp;SUBSTITUTE($A157,"'","''")&amp;"'"&amp;", "&amp;IF($B157="","NULL","'"&amp;SUBSTITUTE($B157,"'","''")&amp;"'")&amp;", "&amp;"'"&amp;SUBSTITUTE($C157,"'","''")&amp;"'"&amp;", "&amp;IF($D157="","NULL","'"&amp;SUBSTITUTE($D157,"'","''")&amp;"'")&amp;", "&amp;IF($E157="","NULL","'"&amp;SUBSTITUTE($E157,"'","''")&amp;"'")&amp;", "&amp;"(SELECT ID_Categoria FROM Categorias WHERE NomeCategoria = '"&amp;SUBSTITUTE($F157,"'","''")&amp;"')"&amp;", "&amp;IF($G157="","NULL","(SELECT ID_Usuario FROM Usuario WHERE NomeUsuario = '"&amp;SUBSTITUTE($G157,"'","''")&amp;"')")&amp;", "&amp;"'"&amp;SUBSTITUTE($H157,"'","''")&amp;"'"&amp;", "&amp;IF($I157="","SYSDATETIME()","'"&amp;SUBSTITUTE($I157,"'","''")&amp;"'")&amp;" WHERE NOT EXISTS (SELECT 1 FROM Posts WHERE URL_Post = "&amp;"'"&amp;SUBSTITUTE($C157,"'","''")&amp;"'"&amp;");")</f>
        <v/>
      </c>
    </row>
    <row r="158" customFormat="false" ht="15" hidden="false" customHeight="false" outlineLevel="0" collapsed="false">
      <c r="A158" s="26"/>
      <c r="B158" s="26"/>
      <c r="C158" s="26"/>
      <c r="D158" s="26"/>
      <c r="E158" s="26"/>
      <c r="F158" s="26"/>
      <c r="G158" s="26"/>
      <c r="H158" s="28"/>
      <c r="I158" s="28"/>
      <c r="K158" s="25" t="str">
        <f aca="false">IF($A158="","","INSERT INTO Posts (Titulo_Post, Resumo, URL_Post, URL_Imagem, Fonte, ID_Categoria, ID_Autor, DataPublicacao, DataColeta) SELECT "&amp;"'"&amp;SUBSTITUTE($A158,"'","''")&amp;"'"&amp;", "&amp;IF($B158="","NULL","'"&amp;SUBSTITUTE($B158,"'","''")&amp;"'")&amp;", "&amp;"'"&amp;SUBSTITUTE($C158,"'","''")&amp;"'"&amp;", "&amp;IF($D158="","NULL","'"&amp;SUBSTITUTE($D158,"'","''")&amp;"'")&amp;", "&amp;IF($E158="","NULL","'"&amp;SUBSTITUTE($E158,"'","''")&amp;"'")&amp;", "&amp;"(SELECT ID_Categoria FROM Categorias WHERE NomeCategoria = '"&amp;SUBSTITUTE($F158,"'","''")&amp;"')"&amp;", "&amp;IF($G158="","NULL","(SELECT ID_Usuario FROM Usuario WHERE NomeUsuario = '"&amp;SUBSTITUTE($G158,"'","''")&amp;"')")&amp;", "&amp;"'"&amp;SUBSTITUTE($H158,"'","''")&amp;"'"&amp;", "&amp;IF($I158="","SYSDATETIME()","'"&amp;SUBSTITUTE($I158,"'","''")&amp;"'")&amp;" WHERE NOT EXISTS (SELECT 1 FROM Posts WHERE URL_Post = "&amp;"'"&amp;SUBSTITUTE($C158,"'","''")&amp;"'"&amp;");")</f>
        <v/>
      </c>
    </row>
    <row r="159" customFormat="false" ht="15" hidden="false" customHeight="false" outlineLevel="0" collapsed="false">
      <c r="A159" s="26"/>
      <c r="B159" s="26"/>
      <c r="C159" s="26"/>
      <c r="D159" s="26"/>
      <c r="E159" s="26"/>
      <c r="F159" s="26"/>
      <c r="G159" s="26"/>
      <c r="H159" s="28"/>
      <c r="I159" s="28"/>
      <c r="K159" s="25" t="str">
        <f aca="false">IF($A159="","","INSERT INTO Posts (Titulo_Post, Resumo, URL_Post, URL_Imagem, Fonte, ID_Categoria, ID_Autor, DataPublicacao, DataColeta) SELECT "&amp;"'"&amp;SUBSTITUTE($A159,"'","''")&amp;"'"&amp;", "&amp;IF($B159="","NULL","'"&amp;SUBSTITUTE($B159,"'","''")&amp;"'")&amp;", "&amp;"'"&amp;SUBSTITUTE($C159,"'","''")&amp;"'"&amp;", "&amp;IF($D159="","NULL","'"&amp;SUBSTITUTE($D159,"'","''")&amp;"'")&amp;", "&amp;IF($E159="","NULL","'"&amp;SUBSTITUTE($E159,"'","''")&amp;"'")&amp;", "&amp;"(SELECT ID_Categoria FROM Categorias WHERE NomeCategoria = '"&amp;SUBSTITUTE($F159,"'","''")&amp;"')"&amp;", "&amp;IF($G159="","NULL","(SELECT ID_Usuario FROM Usuario WHERE NomeUsuario = '"&amp;SUBSTITUTE($G159,"'","''")&amp;"')")&amp;", "&amp;"'"&amp;SUBSTITUTE($H159,"'","''")&amp;"'"&amp;", "&amp;IF($I159="","SYSDATETIME()","'"&amp;SUBSTITUTE($I159,"'","''")&amp;"'")&amp;" WHERE NOT EXISTS (SELECT 1 FROM Posts WHERE URL_Post = "&amp;"'"&amp;SUBSTITUTE($C159,"'","''")&amp;"'"&amp;");")</f>
        <v/>
      </c>
    </row>
    <row r="160" customFormat="false" ht="15" hidden="false" customHeight="false" outlineLevel="0" collapsed="false">
      <c r="A160" s="26"/>
      <c r="B160" s="26"/>
      <c r="C160" s="26"/>
      <c r="D160" s="26"/>
      <c r="E160" s="26"/>
      <c r="F160" s="26"/>
      <c r="G160" s="26"/>
      <c r="H160" s="28"/>
      <c r="I160" s="28"/>
      <c r="K160" s="25" t="str">
        <f aca="false">IF($A160="","","INSERT INTO Posts (Titulo_Post, Resumo, URL_Post, URL_Imagem, Fonte, ID_Categoria, ID_Autor, DataPublicacao, DataColeta) SELECT "&amp;"'"&amp;SUBSTITUTE($A160,"'","''")&amp;"'"&amp;", "&amp;IF($B160="","NULL","'"&amp;SUBSTITUTE($B160,"'","''")&amp;"'")&amp;", "&amp;"'"&amp;SUBSTITUTE($C160,"'","''")&amp;"'"&amp;", "&amp;IF($D160="","NULL","'"&amp;SUBSTITUTE($D160,"'","''")&amp;"'")&amp;", "&amp;IF($E160="","NULL","'"&amp;SUBSTITUTE($E160,"'","''")&amp;"'")&amp;", "&amp;"(SELECT ID_Categoria FROM Categorias WHERE NomeCategoria = '"&amp;SUBSTITUTE($F160,"'","''")&amp;"')"&amp;", "&amp;IF($G160="","NULL","(SELECT ID_Usuario FROM Usuario WHERE NomeUsuario = '"&amp;SUBSTITUTE($G160,"'","''")&amp;"')")&amp;", "&amp;"'"&amp;SUBSTITUTE($H160,"'","''")&amp;"'"&amp;", "&amp;IF($I160="","SYSDATETIME()","'"&amp;SUBSTITUTE($I160,"'","''")&amp;"'")&amp;" WHERE NOT EXISTS (SELECT 1 FROM Posts WHERE URL_Post = "&amp;"'"&amp;SUBSTITUTE($C160,"'","''")&amp;"'"&amp;");")</f>
        <v/>
      </c>
    </row>
    <row r="161" customFormat="false" ht="15" hidden="false" customHeight="false" outlineLevel="0" collapsed="false">
      <c r="A161" s="26"/>
      <c r="B161" s="26"/>
      <c r="C161" s="26"/>
      <c r="D161" s="26"/>
      <c r="E161" s="26"/>
      <c r="F161" s="26"/>
      <c r="G161" s="26"/>
      <c r="H161" s="28"/>
      <c r="I161" s="28"/>
      <c r="K161" s="25" t="str">
        <f aca="false">IF($A161="","","INSERT INTO Posts (Titulo_Post, Resumo, URL_Post, URL_Imagem, Fonte, ID_Categoria, ID_Autor, DataPublicacao, DataColeta) SELECT "&amp;"'"&amp;SUBSTITUTE($A161,"'","''")&amp;"'"&amp;", "&amp;IF($B161="","NULL","'"&amp;SUBSTITUTE($B161,"'","''")&amp;"'")&amp;", "&amp;"'"&amp;SUBSTITUTE($C161,"'","''")&amp;"'"&amp;", "&amp;IF($D161="","NULL","'"&amp;SUBSTITUTE($D161,"'","''")&amp;"'")&amp;", "&amp;IF($E161="","NULL","'"&amp;SUBSTITUTE($E161,"'","''")&amp;"'")&amp;", "&amp;"(SELECT ID_Categoria FROM Categorias WHERE NomeCategoria = '"&amp;SUBSTITUTE($F161,"'","''")&amp;"')"&amp;", "&amp;IF($G161="","NULL","(SELECT ID_Usuario FROM Usuario WHERE NomeUsuario = '"&amp;SUBSTITUTE($G161,"'","''")&amp;"')")&amp;", "&amp;"'"&amp;SUBSTITUTE($H161,"'","''")&amp;"'"&amp;", "&amp;IF($I161="","SYSDATETIME()","'"&amp;SUBSTITUTE($I161,"'","''")&amp;"'")&amp;" WHERE NOT EXISTS (SELECT 1 FROM Posts WHERE URL_Post = "&amp;"'"&amp;SUBSTITUTE($C161,"'","''")&amp;"'"&amp;");")</f>
        <v/>
      </c>
    </row>
    <row r="162" customFormat="false" ht="15" hidden="false" customHeight="false" outlineLevel="0" collapsed="false">
      <c r="A162" s="26"/>
      <c r="B162" s="26"/>
      <c r="C162" s="26"/>
      <c r="D162" s="26"/>
      <c r="E162" s="26"/>
      <c r="F162" s="26"/>
      <c r="G162" s="26"/>
      <c r="H162" s="28"/>
      <c r="I162" s="28"/>
      <c r="K162" s="25" t="str">
        <f aca="false">IF($A162="","","INSERT INTO Posts (Titulo_Post, Resumo, URL_Post, URL_Imagem, Fonte, ID_Categoria, ID_Autor, DataPublicacao, DataColeta) SELECT "&amp;"'"&amp;SUBSTITUTE($A162,"'","''")&amp;"'"&amp;", "&amp;IF($B162="","NULL","'"&amp;SUBSTITUTE($B162,"'","''")&amp;"'")&amp;", "&amp;"'"&amp;SUBSTITUTE($C162,"'","''")&amp;"'"&amp;", "&amp;IF($D162="","NULL","'"&amp;SUBSTITUTE($D162,"'","''")&amp;"'")&amp;", "&amp;IF($E162="","NULL","'"&amp;SUBSTITUTE($E162,"'","''")&amp;"'")&amp;", "&amp;"(SELECT ID_Categoria FROM Categorias WHERE NomeCategoria = '"&amp;SUBSTITUTE($F162,"'","''")&amp;"')"&amp;", "&amp;IF($G162="","NULL","(SELECT ID_Usuario FROM Usuario WHERE NomeUsuario = '"&amp;SUBSTITUTE($G162,"'","''")&amp;"')")&amp;", "&amp;"'"&amp;SUBSTITUTE($H162,"'","''")&amp;"'"&amp;", "&amp;IF($I162="","SYSDATETIME()","'"&amp;SUBSTITUTE($I162,"'","''")&amp;"'")&amp;" WHERE NOT EXISTS (SELECT 1 FROM Posts WHERE URL_Post = "&amp;"'"&amp;SUBSTITUTE($C162,"'","''")&amp;"'"&amp;");")</f>
        <v/>
      </c>
    </row>
    <row r="163" customFormat="false" ht="15" hidden="false" customHeight="false" outlineLevel="0" collapsed="false">
      <c r="A163" s="26"/>
      <c r="B163" s="26"/>
      <c r="C163" s="26"/>
      <c r="D163" s="26"/>
      <c r="E163" s="26"/>
      <c r="F163" s="26"/>
      <c r="G163" s="26"/>
      <c r="H163" s="28"/>
      <c r="I163" s="28"/>
      <c r="K163" s="25" t="str">
        <f aca="false">IF($A163="","","INSERT INTO Posts (Titulo_Post, Resumo, URL_Post, URL_Imagem, Fonte, ID_Categoria, ID_Autor, DataPublicacao, DataColeta) SELECT "&amp;"'"&amp;SUBSTITUTE($A163,"'","''")&amp;"'"&amp;", "&amp;IF($B163="","NULL","'"&amp;SUBSTITUTE($B163,"'","''")&amp;"'")&amp;", "&amp;"'"&amp;SUBSTITUTE($C163,"'","''")&amp;"'"&amp;", "&amp;IF($D163="","NULL","'"&amp;SUBSTITUTE($D163,"'","''")&amp;"'")&amp;", "&amp;IF($E163="","NULL","'"&amp;SUBSTITUTE($E163,"'","''")&amp;"'")&amp;", "&amp;"(SELECT ID_Categoria FROM Categorias WHERE NomeCategoria = '"&amp;SUBSTITUTE($F163,"'","''")&amp;"')"&amp;", "&amp;IF($G163="","NULL","(SELECT ID_Usuario FROM Usuario WHERE NomeUsuario = '"&amp;SUBSTITUTE($G163,"'","''")&amp;"')")&amp;", "&amp;"'"&amp;SUBSTITUTE($H163,"'","''")&amp;"'"&amp;", "&amp;IF($I163="","SYSDATETIME()","'"&amp;SUBSTITUTE($I163,"'","''")&amp;"'")&amp;" WHERE NOT EXISTS (SELECT 1 FROM Posts WHERE URL_Post = "&amp;"'"&amp;SUBSTITUTE($C163,"'","''")&amp;"'"&amp;");")</f>
        <v/>
      </c>
    </row>
    <row r="164" customFormat="false" ht="15" hidden="false" customHeight="false" outlineLevel="0" collapsed="false">
      <c r="A164" s="26"/>
      <c r="B164" s="26"/>
      <c r="C164" s="26"/>
      <c r="D164" s="26"/>
      <c r="E164" s="26"/>
      <c r="F164" s="26"/>
      <c r="G164" s="26"/>
      <c r="H164" s="28"/>
      <c r="I164" s="28"/>
      <c r="K164" s="25" t="str">
        <f aca="false">IF($A164="","","INSERT INTO Posts (Titulo_Post, Resumo, URL_Post, URL_Imagem, Fonte, ID_Categoria, ID_Autor, DataPublicacao, DataColeta) SELECT "&amp;"'"&amp;SUBSTITUTE($A164,"'","''")&amp;"'"&amp;", "&amp;IF($B164="","NULL","'"&amp;SUBSTITUTE($B164,"'","''")&amp;"'")&amp;", "&amp;"'"&amp;SUBSTITUTE($C164,"'","''")&amp;"'"&amp;", "&amp;IF($D164="","NULL","'"&amp;SUBSTITUTE($D164,"'","''")&amp;"'")&amp;", "&amp;IF($E164="","NULL","'"&amp;SUBSTITUTE($E164,"'","''")&amp;"'")&amp;", "&amp;"(SELECT ID_Categoria FROM Categorias WHERE NomeCategoria = '"&amp;SUBSTITUTE($F164,"'","''")&amp;"')"&amp;", "&amp;IF($G164="","NULL","(SELECT ID_Usuario FROM Usuario WHERE NomeUsuario = '"&amp;SUBSTITUTE($G164,"'","''")&amp;"')")&amp;", "&amp;"'"&amp;SUBSTITUTE($H164,"'","''")&amp;"'"&amp;", "&amp;IF($I164="","SYSDATETIME()","'"&amp;SUBSTITUTE($I164,"'","''")&amp;"'")&amp;" WHERE NOT EXISTS (SELECT 1 FROM Posts WHERE URL_Post = "&amp;"'"&amp;SUBSTITUTE($C164,"'","''")&amp;"'"&amp;");")</f>
        <v/>
      </c>
    </row>
    <row r="165" customFormat="false" ht="15" hidden="false" customHeight="false" outlineLevel="0" collapsed="false">
      <c r="A165" s="26"/>
      <c r="B165" s="26"/>
      <c r="C165" s="26"/>
      <c r="D165" s="26"/>
      <c r="E165" s="26"/>
      <c r="F165" s="26"/>
      <c r="G165" s="26"/>
      <c r="H165" s="28"/>
      <c r="I165" s="28"/>
      <c r="K165" s="25" t="str">
        <f aca="false">IF($A165="","","INSERT INTO Posts (Titulo_Post, Resumo, URL_Post, URL_Imagem, Fonte, ID_Categoria, ID_Autor, DataPublicacao, DataColeta) SELECT "&amp;"'"&amp;SUBSTITUTE($A165,"'","''")&amp;"'"&amp;", "&amp;IF($B165="","NULL","'"&amp;SUBSTITUTE($B165,"'","''")&amp;"'")&amp;", "&amp;"'"&amp;SUBSTITUTE($C165,"'","''")&amp;"'"&amp;", "&amp;IF($D165="","NULL","'"&amp;SUBSTITUTE($D165,"'","''")&amp;"'")&amp;", "&amp;IF($E165="","NULL","'"&amp;SUBSTITUTE($E165,"'","''")&amp;"'")&amp;", "&amp;"(SELECT ID_Categoria FROM Categorias WHERE NomeCategoria = '"&amp;SUBSTITUTE($F165,"'","''")&amp;"')"&amp;", "&amp;IF($G165="","NULL","(SELECT ID_Usuario FROM Usuario WHERE NomeUsuario = '"&amp;SUBSTITUTE($G165,"'","''")&amp;"')")&amp;", "&amp;"'"&amp;SUBSTITUTE($H165,"'","''")&amp;"'"&amp;", "&amp;IF($I165="","SYSDATETIME()","'"&amp;SUBSTITUTE($I165,"'","''")&amp;"'")&amp;" WHERE NOT EXISTS (SELECT 1 FROM Posts WHERE URL_Post = "&amp;"'"&amp;SUBSTITUTE($C165,"'","''")&amp;"'"&amp;");")</f>
        <v/>
      </c>
    </row>
    <row r="166" customFormat="false" ht="15" hidden="false" customHeight="false" outlineLevel="0" collapsed="false">
      <c r="A166" s="26"/>
      <c r="B166" s="26"/>
      <c r="C166" s="26"/>
      <c r="D166" s="26"/>
      <c r="E166" s="26"/>
      <c r="F166" s="26"/>
      <c r="G166" s="26"/>
      <c r="H166" s="28"/>
      <c r="I166" s="28"/>
      <c r="K166" s="25" t="str">
        <f aca="false">IF($A166="","","INSERT INTO Posts (Titulo_Post, Resumo, URL_Post, URL_Imagem, Fonte, ID_Categoria, ID_Autor, DataPublicacao, DataColeta) SELECT "&amp;"'"&amp;SUBSTITUTE($A166,"'","''")&amp;"'"&amp;", "&amp;IF($B166="","NULL","'"&amp;SUBSTITUTE($B166,"'","''")&amp;"'")&amp;", "&amp;"'"&amp;SUBSTITUTE($C166,"'","''")&amp;"'"&amp;", "&amp;IF($D166="","NULL","'"&amp;SUBSTITUTE($D166,"'","''")&amp;"'")&amp;", "&amp;IF($E166="","NULL","'"&amp;SUBSTITUTE($E166,"'","''")&amp;"'")&amp;", "&amp;"(SELECT ID_Categoria FROM Categorias WHERE NomeCategoria = '"&amp;SUBSTITUTE($F166,"'","''")&amp;"')"&amp;", "&amp;IF($G166="","NULL","(SELECT ID_Usuario FROM Usuario WHERE NomeUsuario = '"&amp;SUBSTITUTE($G166,"'","''")&amp;"')")&amp;", "&amp;"'"&amp;SUBSTITUTE($H166,"'","''")&amp;"'"&amp;", "&amp;IF($I166="","SYSDATETIME()","'"&amp;SUBSTITUTE($I166,"'","''")&amp;"'")&amp;" WHERE NOT EXISTS (SELECT 1 FROM Posts WHERE URL_Post = "&amp;"'"&amp;SUBSTITUTE($C166,"'","''")&amp;"'"&amp;");")</f>
        <v/>
      </c>
    </row>
    <row r="167" customFormat="false" ht="15" hidden="false" customHeight="false" outlineLevel="0" collapsed="false">
      <c r="A167" s="26"/>
      <c r="B167" s="26"/>
      <c r="C167" s="26"/>
      <c r="D167" s="26"/>
      <c r="E167" s="26"/>
      <c r="F167" s="26"/>
      <c r="G167" s="26"/>
      <c r="H167" s="28"/>
      <c r="I167" s="28"/>
      <c r="K167" s="25" t="str">
        <f aca="false">IF($A167="","","INSERT INTO Posts (Titulo_Post, Resumo, URL_Post, URL_Imagem, Fonte, ID_Categoria, ID_Autor, DataPublicacao, DataColeta) SELECT "&amp;"'"&amp;SUBSTITUTE($A167,"'","''")&amp;"'"&amp;", "&amp;IF($B167="","NULL","'"&amp;SUBSTITUTE($B167,"'","''")&amp;"'")&amp;", "&amp;"'"&amp;SUBSTITUTE($C167,"'","''")&amp;"'"&amp;", "&amp;IF($D167="","NULL","'"&amp;SUBSTITUTE($D167,"'","''")&amp;"'")&amp;", "&amp;IF($E167="","NULL","'"&amp;SUBSTITUTE($E167,"'","''")&amp;"'")&amp;", "&amp;"(SELECT ID_Categoria FROM Categorias WHERE NomeCategoria = '"&amp;SUBSTITUTE($F167,"'","''")&amp;"')"&amp;", "&amp;IF($G167="","NULL","(SELECT ID_Usuario FROM Usuario WHERE NomeUsuario = '"&amp;SUBSTITUTE($G167,"'","''")&amp;"')")&amp;", "&amp;"'"&amp;SUBSTITUTE($H167,"'","''")&amp;"'"&amp;", "&amp;IF($I167="","SYSDATETIME()","'"&amp;SUBSTITUTE($I167,"'","''")&amp;"'")&amp;" WHERE NOT EXISTS (SELECT 1 FROM Posts WHERE URL_Post = "&amp;"'"&amp;SUBSTITUTE($C167,"'","''")&amp;"'"&amp;");")</f>
        <v/>
      </c>
    </row>
    <row r="168" customFormat="false" ht="15" hidden="false" customHeight="false" outlineLevel="0" collapsed="false">
      <c r="A168" s="26"/>
      <c r="B168" s="26"/>
      <c r="C168" s="26"/>
      <c r="D168" s="26"/>
      <c r="E168" s="26"/>
      <c r="F168" s="26"/>
      <c r="G168" s="26"/>
      <c r="H168" s="28"/>
      <c r="I168" s="28"/>
      <c r="K168" s="25" t="str">
        <f aca="false">IF($A168="","","INSERT INTO Posts (Titulo_Post, Resumo, URL_Post, URL_Imagem, Fonte, ID_Categoria, ID_Autor, DataPublicacao, DataColeta) SELECT "&amp;"'"&amp;SUBSTITUTE($A168,"'","''")&amp;"'"&amp;", "&amp;IF($B168="","NULL","'"&amp;SUBSTITUTE($B168,"'","''")&amp;"'")&amp;", "&amp;"'"&amp;SUBSTITUTE($C168,"'","''")&amp;"'"&amp;", "&amp;IF($D168="","NULL","'"&amp;SUBSTITUTE($D168,"'","''")&amp;"'")&amp;", "&amp;IF($E168="","NULL","'"&amp;SUBSTITUTE($E168,"'","''")&amp;"'")&amp;", "&amp;"(SELECT ID_Categoria FROM Categorias WHERE NomeCategoria = '"&amp;SUBSTITUTE($F168,"'","''")&amp;"')"&amp;", "&amp;IF($G168="","NULL","(SELECT ID_Usuario FROM Usuario WHERE NomeUsuario = '"&amp;SUBSTITUTE($G168,"'","''")&amp;"')")&amp;", "&amp;"'"&amp;SUBSTITUTE($H168,"'","''")&amp;"'"&amp;", "&amp;IF($I168="","SYSDATETIME()","'"&amp;SUBSTITUTE($I168,"'","''")&amp;"'")&amp;" WHERE NOT EXISTS (SELECT 1 FROM Posts WHERE URL_Post = "&amp;"'"&amp;SUBSTITUTE($C168,"'","''")&amp;"'"&amp;");")</f>
        <v/>
      </c>
    </row>
    <row r="169" customFormat="false" ht="15" hidden="false" customHeight="false" outlineLevel="0" collapsed="false">
      <c r="A169" s="26"/>
      <c r="B169" s="26"/>
      <c r="C169" s="26"/>
      <c r="D169" s="26"/>
      <c r="E169" s="26"/>
      <c r="F169" s="26"/>
      <c r="G169" s="26"/>
      <c r="H169" s="28"/>
      <c r="I169" s="28"/>
      <c r="K169" s="25" t="str">
        <f aca="false">IF($A169="","","INSERT INTO Posts (Titulo_Post, Resumo, URL_Post, URL_Imagem, Fonte, ID_Categoria, ID_Autor, DataPublicacao, DataColeta) SELECT "&amp;"'"&amp;SUBSTITUTE($A169,"'","''")&amp;"'"&amp;", "&amp;IF($B169="","NULL","'"&amp;SUBSTITUTE($B169,"'","''")&amp;"'")&amp;", "&amp;"'"&amp;SUBSTITUTE($C169,"'","''")&amp;"'"&amp;", "&amp;IF($D169="","NULL","'"&amp;SUBSTITUTE($D169,"'","''")&amp;"'")&amp;", "&amp;IF($E169="","NULL","'"&amp;SUBSTITUTE($E169,"'","''")&amp;"'")&amp;", "&amp;"(SELECT ID_Categoria FROM Categorias WHERE NomeCategoria = '"&amp;SUBSTITUTE($F169,"'","''")&amp;"')"&amp;", "&amp;IF($G169="","NULL","(SELECT ID_Usuario FROM Usuario WHERE NomeUsuario = '"&amp;SUBSTITUTE($G169,"'","''")&amp;"')")&amp;", "&amp;"'"&amp;SUBSTITUTE($H169,"'","''")&amp;"'"&amp;", "&amp;IF($I169="","SYSDATETIME()","'"&amp;SUBSTITUTE($I169,"'","''")&amp;"'")&amp;" WHERE NOT EXISTS (SELECT 1 FROM Posts WHERE URL_Post = "&amp;"'"&amp;SUBSTITUTE($C169,"'","''")&amp;"'"&amp;");")</f>
        <v/>
      </c>
    </row>
    <row r="170" customFormat="false" ht="15" hidden="false" customHeight="false" outlineLevel="0" collapsed="false">
      <c r="A170" s="26"/>
      <c r="B170" s="26"/>
      <c r="C170" s="26"/>
      <c r="D170" s="26"/>
      <c r="E170" s="26"/>
      <c r="F170" s="26"/>
      <c r="G170" s="26"/>
      <c r="H170" s="28"/>
      <c r="I170" s="28"/>
      <c r="K170" s="25" t="str">
        <f aca="false">IF($A170="","","INSERT INTO Posts (Titulo_Post, Resumo, URL_Post, URL_Imagem, Fonte, ID_Categoria, ID_Autor, DataPublicacao, DataColeta) SELECT "&amp;"'"&amp;SUBSTITUTE($A170,"'","''")&amp;"'"&amp;", "&amp;IF($B170="","NULL","'"&amp;SUBSTITUTE($B170,"'","''")&amp;"'")&amp;", "&amp;"'"&amp;SUBSTITUTE($C170,"'","''")&amp;"'"&amp;", "&amp;IF($D170="","NULL","'"&amp;SUBSTITUTE($D170,"'","''")&amp;"'")&amp;", "&amp;IF($E170="","NULL","'"&amp;SUBSTITUTE($E170,"'","''")&amp;"'")&amp;", "&amp;"(SELECT ID_Categoria FROM Categorias WHERE NomeCategoria = '"&amp;SUBSTITUTE($F170,"'","''")&amp;"')"&amp;", "&amp;IF($G170="","NULL","(SELECT ID_Usuario FROM Usuario WHERE NomeUsuario = '"&amp;SUBSTITUTE($G170,"'","''")&amp;"')")&amp;", "&amp;"'"&amp;SUBSTITUTE($H170,"'","''")&amp;"'"&amp;", "&amp;IF($I170="","SYSDATETIME()","'"&amp;SUBSTITUTE($I170,"'","''")&amp;"'")&amp;" WHERE NOT EXISTS (SELECT 1 FROM Posts WHERE URL_Post = "&amp;"'"&amp;SUBSTITUTE($C170,"'","''")&amp;"'"&amp;");")</f>
        <v/>
      </c>
    </row>
    <row r="171" customFormat="false" ht="15" hidden="false" customHeight="false" outlineLevel="0" collapsed="false">
      <c r="A171" s="26"/>
      <c r="B171" s="26"/>
      <c r="C171" s="26"/>
      <c r="D171" s="26"/>
      <c r="E171" s="26"/>
      <c r="F171" s="26"/>
      <c r="G171" s="26"/>
      <c r="H171" s="28"/>
      <c r="I171" s="28"/>
      <c r="K171" s="25" t="str">
        <f aca="false">IF($A171="","","INSERT INTO Posts (Titulo_Post, Resumo, URL_Post, URL_Imagem, Fonte, ID_Categoria, ID_Autor, DataPublicacao, DataColeta) SELECT "&amp;"'"&amp;SUBSTITUTE($A171,"'","''")&amp;"'"&amp;", "&amp;IF($B171="","NULL","'"&amp;SUBSTITUTE($B171,"'","''")&amp;"'")&amp;", "&amp;"'"&amp;SUBSTITUTE($C171,"'","''")&amp;"'"&amp;", "&amp;IF($D171="","NULL","'"&amp;SUBSTITUTE($D171,"'","''")&amp;"'")&amp;", "&amp;IF($E171="","NULL","'"&amp;SUBSTITUTE($E171,"'","''")&amp;"'")&amp;", "&amp;"(SELECT ID_Categoria FROM Categorias WHERE NomeCategoria = '"&amp;SUBSTITUTE($F171,"'","''")&amp;"')"&amp;", "&amp;IF($G171="","NULL","(SELECT ID_Usuario FROM Usuario WHERE NomeUsuario = '"&amp;SUBSTITUTE($G171,"'","''")&amp;"')")&amp;", "&amp;"'"&amp;SUBSTITUTE($H171,"'","''")&amp;"'"&amp;", "&amp;IF($I171="","SYSDATETIME()","'"&amp;SUBSTITUTE($I171,"'","''")&amp;"'")&amp;" WHERE NOT EXISTS (SELECT 1 FROM Posts WHERE URL_Post = "&amp;"'"&amp;SUBSTITUTE($C171,"'","''")&amp;"'"&amp;");")</f>
        <v/>
      </c>
    </row>
    <row r="172" customFormat="false" ht="15" hidden="false" customHeight="false" outlineLevel="0" collapsed="false">
      <c r="A172" s="26"/>
      <c r="B172" s="26"/>
      <c r="C172" s="26"/>
      <c r="D172" s="26"/>
      <c r="E172" s="26"/>
      <c r="F172" s="26"/>
      <c r="G172" s="26"/>
      <c r="H172" s="28"/>
      <c r="I172" s="28"/>
      <c r="K172" s="25" t="str">
        <f aca="false">IF($A172="","","INSERT INTO Posts (Titulo_Post, Resumo, URL_Post, URL_Imagem, Fonte, ID_Categoria, ID_Autor, DataPublicacao, DataColeta) SELECT "&amp;"'"&amp;SUBSTITUTE($A172,"'","''")&amp;"'"&amp;", "&amp;IF($B172="","NULL","'"&amp;SUBSTITUTE($B172,"'","''")&amp;"'")&amp;", "&amp;"'"&amp;SUBSTITUTE($C172,"'","''")&amp;"'"&amp;", "&amp;IF($D172="","NULL","'"&amp;SUBSTITUTE($D172,"'","''")&amp;"'")&amp;", "&amp;IF($E172="","NULL","'"&amp;SUBSTITUTE($E172,"'","''")&amp;"'")&amp;", "&amp;"(SELECT ID_Categoria FROM Categorias WHERE NomeCategoria = '"&amp;SUBSTITUTE($F172,"'","''")&amp;"')"&amp;", "&amp;IF($G172="","NULL","(SELECT ID_Usuario FROM Usuario WHERE NomeUsuario = '"&amp;SUBSTITUTE($G172,"'","''")&amp;"')")&amp;", "&amp;"'"&amp;SUBSTITUTE($H172,"'","''")&amp;"'"&amp;", "&amp;IF($I172="","SYSDATETIME()","'"&amp;SUBSTITUTE($I172,"'","''")&amp;"'")&amp;" WHERE NOT EXISTS (SELECT 1 FROM Posts WHERE URL_Post = "&amp;"'"&amp;SUBSTITUTE($C172,"'","''")&amp;"'"&amp;");")</f>
        <v/>
      </c>
    </row>
    <row r="173" customFormat="false" ht="15" hidden="false" customHeight="false" outlineLevel="0" collapsed="false">
      <c r="A173" s="26"/>
      <c r="B173" s="26"/>
      <c r="C173" s="26"/>
      <c r="D173" s="26"/>
      <c r="E173" s="26"/>
      <c r="F173" s="26"/>
      <c r="G173" s="26"/>
      <c r="H173" s="28"/>
      <c r="I173" s="28"/>
      <c r="K173" s="25" t="str">
        <f aca="false">IF($A173="","","INSERT INTO Posts (Titulo_Post, Resumo, URL_Post, URL_Imagem, Fonte, ID_Categoria, ID_Autor, DataPublicacao, DataColeta) SELECT "&amp;"'"&amp;SUBSTITUTE($A173,"'","''")&amp;"'"&amp;", "&amp;IF($B173="","NULL","'"&amp;SUBSTITUTE($B173,"'","''")&amp;"'")&amp;", "&amp;"'"&amp;SUBSTITUTE($C173,"'","''")&amp;"'"&amp;", "&amp;IF($D173="","NULL","'"&amp;SUBSTITUTE($D173,"'","''")&amp;"'")&amp;", "&amp;IF($E173="","NULL","'"&amp;SUBSTITUTE($E173,"'","''")&amp;"'")&amp;", "&amp;"(SELECT ID_Categoria FROM Categorias WHERE NomeCategoria = '"&amp;SUBSTITUTE($F173,"'","''")&amp;"')"&amp;", "&amp;IF($G173="","NULL","(SELECT ID_Usuario FROM Usuario WHERE NomeUsuario = '"&amp;SUBSTITUTE($G173,"'","''")&amp;"')")&amp;", "&amp;"'"&amp;SUBSTITUTE($H173,"'","''")&amp;"'"&amp;", "&amp;IF($I173="","SYSDATETIME()","'"&amp;SUBSTITUTE($I173,"'","''")&amp;"'")&amp;" WHERE NOT EXISTS (SELECT 1 FROM Posts WHERE URL_Post = "&amp;"'"&amp;SUBSTITUTE($C173,"'","''")&amp;"'"&amp;");")</f>
        <v/>
      </c>
    </row>
    <row r="174" customFormat="false" ht="15" hidden="false" customHeight="false" outlineLevel="0" collapsed="false">
      <c r="A174" s="26"/>
      <c r="B174" s="26"/>
      <c r="C174" s="26"/>
      <c r="D174" s="26"/>
      <c r="E174" s="26"/>
      <c r="F174" s="26"/>
      <c r="G174" s="26"/>
      <c r="H174" s="28"/>
      <c r="I174" s="28"/>
      <c r="K174" s="25" t="str">
        <f aca="false">IF($A174="","","INSERT INTO Posts (Titulo_Post, Resumo, URL_Post, URL_Imagem, Fonte, ID_Categoria, ID_Autor, DataPublicacao, DataColeta) SELECT "&amp;"'"&amp;SUBSTITUTE($A174,"'","''")&amp;"'"&amp;", "&amp;IF($B174="","NULL","'"&amp;SUBSTITUTE($B174,"'","''")&amp;"'")&amp;", "&amp;"'"&amp;SUBSTITUTE($C174,"'","''")&amp;"'"&amp;", "&amp;IF($D174="","NULL","'"&amp;SUBSTITUTE($D174,"'","''")&amp;"'")&amp;", "&amp;IF($E174="","NULL","'"&amp;SUBSTITUTE($E174,"'","''")&amp;"'")&amp;", "&amp;"(SELECT ID_Categoria FROM Categorias WHERE NomeCategoria = '"&amp;SUBSTITUTE($F174,"'","''")&amp;"')"&amp;", "&amp;IF($G174="","NULL","(SELECT ID_Usuario FROM Usuario WHERE NomeUsuario = '"&amp;SUBSTITUTE($G174,"'","''")&amp;"')")&amp;", "&amp;"'"&amp;SUBSTITUTE($H174,"'","''")&amp;"'"&amp;", "&amp;IF($I174="","SYSDATETIME()","'"&amp;SUBSTITUTE($I174,"'","''")&amp;"'")&amp;" WHERE NOT EXISTS (SELECT 1 FROM Posts WHERE URL_Post = "&amp;"'"&amp;SUBSTITUTE($C174,"'","''")&amp;"'"&amp;");")</f>
        <v/>
      </c>
    </row>
    <row r="175" customFormat="false" ht="15" hidden="false" customHeight="false" outlineLevel="0" collapsed="false">
      <c r="A175" s="26"/>
      <c r="B175" s="26"/>
      <c r="C175" s="26"/>
      <c r="D175" s="26"/>
      <c r="E175" s="26"/>
      <c r="F175" s="26"/>
      <c r="G175" s="26"/>
      <c r="H175" s="28"/>
      <c r="I175" s="28"/>
      <c r="K175" s="25" t="str">
        <f aca="false">IF($A175="","","INSERT INTO Posts (Titulo_Post, Resumo, URL_Post, URL_Imagem, Fonte, ID_Categoria, ID_Autor, DataPublicacao, DataColeta) SELECT "&amp;"'"&amp;SUBSTITUTE($A175,"'","''")&amp;"'"&amp;", "&amp;IF($B175="","NULL","'"&amp;SUBSTITUTE($B175,"'","''")&amp;"'")&amp;", "&amp;"'"&amp;SUBSTITUTE($C175,"'","''")&amp;"'"&amp;", "&amp;IF($D175="","NULL","'"&amp;SUBSTITUTE($D175,"'","''")&amp;"'")&amp;", "&amp;IF($E175="","NULL","'"&amp;SUBSTITUTE($E175,"'","''")&amp;"'")&amp;", "&amp;"(SELECT ID_Categoria FROM Categorias WHERE NomeCategoria = '"&amp;SUBSTITUTE($F175,"'","''")&amp;"')"&amp;", "&amp;IF($G175="","NULL","(SELECT ID_Usuario FROM Usuario WHERE NomeUsuario = '"&amp;SUBSTITUTE($G175,"'","''")&amp;"')")&amp;", "&amp;"'"&amp;SUBSTITUTE($H175,"'","''")&amp;"'"&amp;", "&amp;IF($I175="","SYSDATETIME()","'"&amp;SUBSTITUTE($I175,"'","''")&amp;"'")&amp;" WHERE NOT EXISTS (SELECT 1 FROM Posts WHERE URL_Post = "&amp;"'"&amp;SUBSTITUTE($C175,"'","''")&amp;"'"&amp;");")</f>
        <v/>
      </c>
    </row>
    <row r="176" customFormat="false" ht="15" hidden="false" customHeight="false" outlineLevel="0" collapsed="false">
      <c r="A176" s="26"/>
      <c r="B176" s="26"/>
      <c r="C176" s="26"/>
      <c r="D176" s="26"/>
      <c r="E176" s="26"/>
      <c r="F176" s="26"/>
      <c r="G176" s="26"/>
      <c r="H176" s="28"/>
      <c r="I176" s="28"/>
      <c r="K176" s="25" t="str">
        <f aca="false">IF($A176="","","INSERT INTO Posts (Titulo_Post, Resumo, URL_Post, URL_Imagem, Fonte, ID_Categoria, ID_Autor, DataPublicacao, DataColeta) SELECT "&amp;"'"&amp;SUBSTITUTE($A176,"'","''")&amp;"'"&amp;", "&amp;IF($B176="","NULL","'"&amp;SUBSTITUTE($B176,"'","''")&amp;"'")&amp;", "&amp;"'"&amp;SUBSTITUTE($C176,"'","''")&amp;"'"&amp;", "&amp;IF($D176="","NULL","'"&amp;SUBSTITUTE($D176,"'","''")&amp;"'")&amp;", "&amp;IF($E176="","NULL","'"&amp;SUBSTITUTE($E176,"'","''")&amp;"'")&amp;", "&amp;"(SELECT ID_Categoria FROM Categorias WHERE NomeCategoria = '"&amp;SUBSTITUTE($F176,"'","''")&amp;"')"&amp;", "&amp;IF($G176="","NULL","(SELECT ID_Usuario FROM Usuario WHERE NomeUsuario = '"&amp;SUBSTITUTE($G176,"'","''")&amp;"')")&amp;", "&amp;"'"&amp;SUBSTITUTE($H176,"'","''")&amp;"'"&amp;", "&amp;IF($I176="","SYSDATETIME()","'"&amp;SUBSTITUTE($I176,"'","''")&amp;"'")&amp;" WHERE NOT EXISTS (SELECT 1 FROM Posts WHERE URL_Post = "&amp;"'"&amp;SUBSTITUTE($C176,"'","''")&amp;"'"&amp;");")</f>
        <v/>
      </c>
    </row>
    <row r="177" customFormat="false" ht="15" hidden="false" customHeight="false" outlineLevel="0" collapsed="false">
      <c r="A177" s="26"/>
      <c r="B177" s="26"/>
      <c r="C177" s="26"/>
      <c r="D177" s="26"/>
      <c r="E177" s="26"/>
      <c r="F177" s="26"/>
      <c r="G177" s="26"/>
      <c r="H177" s="28"/>
      <c r="I177" s="28"/>
      <c r="K177" s="25" t="str">
        <f aca="false">IF($A177="","","INSERT INTO Posts (Titulo_Post, Resumo, URL_Post, URL_Imagem, Fonte, ID_Categoria, ID_Autor, DataPublicacao, DataColeta) SELECT "&amp;"'"&amp;SUBSTITUTE($A177,"'","''")&amp;"'"&amp;", "&amp;IF($B177="","NULL","'"&amp;SUBSTITUTE($B177,"'","''")&amp;"'")&amp;", "&amp;"'"&amp;SUBSTITUTE($C177,"'","''")&amp;"'"&amp;", "&amp;IF($D177="","NULL","'"&amp;SUBSTITUTE($D177,"'","''")&amp;"'")&amp;", "&amp;IF($E177="","NULL","'"&amp;SUBSTITUTE($E177,"'","''")&amp;"'")&amp;", "&amp;"(SELECT ID_Categoria FROM Categorias WHERE NomeCategoria = '"&amp;SUBSTITUTE($F177,"'","''")&amp;"')"&amp;", "&amp;IF($G177="","NULL","(SELECT ID_Usuario FROM Usuario WHERE NomeUsuario = '"&amp;SUBSTITUTE($G177,"'","''")&amp;"')")&amp;", "&amp;"'"&amp;SUBSTITUTE($H177,"'","''")&amp;"'"&amp;", "&amp;IF($I177="","SYSDATETIME()","'"&amp;SUBSTITUTE($I177,"'","''")&amp;"'")&amp;" WHERE NOT EXISTS (SELECT 1 FROM Posts WHERE URL_Post = "&amp;"'"&amp;SUBSTITUTE($C177,"'","''")&amp;"'"&amp;");")</f>
        <v/>
      </c>
    </row>
    <row r="178" customFormat="false" ht="15" hidden="false" customHeight="false" outlineLevel="0" collapsed="false">
      <c r="A178" s="26"/>
      <c r="B178" s="26"/>
      <c r="C178" s="26"/>
      <c r="D178" s="26"/>
      <c r="E178" s="26"/>
      <c r="F178" s="26"/>
      <c r="G178" s="26"/>
      <c r="H178" s="28"/>
      <c r="I178" s="28"/>
      <c r="K178" s="25" t="str">
        <f aca="false">IF($A178="","","INSERT INTO Posts (Titulo_Post, Resumo, URL_Post, URL_Imagem, Fonte, ID_Categoria, ID_Autor, DataPublicacao, DataColeta) SELECT "&amp;"'"&amp;SUBSTITUTE($A178,"'","''")&amp;"'"&amp;", "&amp;IF($B178="","NULL","'"&amp;SUBSTITUTE($B178,"'","''")&amp;"'")&amp;", "&amp;"'"&amp;SUBSTITUTE($C178,"'","''")&amp;"'"&amp;", "&amp;IF($D178="","NULL","'"&amp;SUBSTITUTE($D178,"'","''")&amp;"'")&amp;", "&amp;IF($E178="","NULL","'"&amp;SUBSTITUTE($E178,"'","''")&amp;"'")&amp;", "&amp;"(SELECT ID_Categoria FROM Categorias WHERE NomeCategoria = '"&amp;SUBSTITUTE($F178,"'","''")&amp;"')"&amp;", "&amp;IF($G178="","NULL","(SELECT ID_Usuario FROM Usuario WHERE NomeUsuario = '"&amp;SUBSTITUTE($G178,"'","''")&amp;"')")&amp;", "&amp;"'"&amp;SUBSTITUTE($H178,"'","''")&amp;"'"&amp;", "&amp;IF($I178="","SYSDATETIME()","'"&amp;SUBSTITUTE($I178,"'","''")&amp;"'")&amp;" WHERE NOT EXISTS (SELECT 1 FROM Posts WHERE URL_Post = "&amp;"'"&amp;SUBSTITUTE($C178,"'","''")&amp;"'"&amp;");")</f>
        <v/>
      </c>
    </row>
    <row r="179" customFormat="false" ht="15" hidden="false" customHeight="false" outlineLevel="0" collapsed="false">
      <c r="A179" s="26"/>
      <c r="B179" s="26"/>
      <c r="C179" s="26"/>
      <c r="D179" s="26"/>
      <c r="E179" s="26"/>
      <c r="F179" s="26"/>
      <c r="G179" s="26"/>
      <c r="H179" s="28"/>
      <c r="I179" s="28"/>
      <c r="K179" s="25" t="str">
        <f aca="false">IF($A179="","","INSERT INTO Posts (Titulo_Post, Resumo, URL_Post, URL_Imagem, Fonte, ID_Categoria, ID_Autor, DataPublicacao, DataColeta) SELECT "&amp;"'"&amp;SUBSTITUTE($A179,"'","''")&amp;"'"&amp;", "&amp;IF($B179="","NULL","'"&amp;SUBSTITUTE($B179,"'","''")&amp;"'")&amp;", "&amp;"'"&amp;SUBSTITUTE($C179,"'","''")&amp;"'"&amp;", "&amp;IF($D179="","NULL","'"&amp;SUBSTITUTE($D179,"'","''")&amp;"'")&amp;", "&amp;IF($E179="","NULL","'"&amp;SUBSTITUTE($E179,"'","''")&amp;"'")&amp;", "&amp;"(SELECT ID_Categoria FROM Categorias WHERE NomeCategoria = '"&amp;SUBSTITUTE($F179,"'","''")&amp;"')"&amp;", "&amp;IF($G179="","NULL","(SELECT ID_Usuario FROM Usuario WHERE NomeUsuario = '"&amp;SUBSTITUTE($G179,"'","''")&amp;"')")&amp;", "&amp;"'"&amp;SUBSTITUTE($H179,"'","''")&amp;"'"&amp;", "&amp;IF($I179="","SYSDATETIME()","'"&amp;SUBSTITUTE($I179,"'","''")&amp;"'")&amp;" WHERE NOT EXISTS (SELECT 1 FROM Posts WHERE URL_Post = "&amp;"'"&amp;SUBSTITUTE($C179,"'","''")&amp;"'"&amp;");")</f>
        <v/>
      </c>
    </row>
    <row r="180" customFormat="false" ht="15" hidden="false" customHeight="false" outlineLevel="0" collapsed="false">
      <c r="A180" s="26"/>
      <c r="B180" s="26"/>
      <c r="C180" s="26"/>
      <c r="D180" s="26"/>
      <c r="E180" s="26"/>
      <c r="F180" s="26"/>
      <c r="G180" s="26"/>
      <c r="H180" s="28"/>
      <c r="I180" s="28"/>
      <c r="K180" s="25" t="str">
        <f aca="false">IF($A180="","","INSERT INTO Posts (Titulo_Post, Resumo, URL_Post, URL_Imagem, Fonte, ID_Categoria, ID_Autor, DataPublicacao, DataColeta) SELECT "&amp;"'"&amp;SUBSTITUTE($A180,"'","''")&amp;"'"&amp;", "&amp;IF($B180="","NULL","'"&amp;SUBSTITUTE($B180,"'","''")&amp;"'")&amp;", "&amp;"'"&amp;SUBSTITUTE($C180,"'","''")&amp;"'"&amp;", "&amp;IF($D180="","NULL","'"&amp;SUBSTITUTE($D180,"'","''")&amp;"'")&amp;", "&amp;IF($E180="","NULL","'"&amp;SUBSTITUTE($E180,"'","''")&amp;"'")&amp;", "&amp;"(SELECT ID_Categoria FROM Categorias WHERE NomeCategoria = '"&amp;SUBSTITUTE($F180,"'","''")&amp;"')"&amp;", "&amp;IF($G180="","NULL","(SELECT ID_Usuario FROM Usuario WHERE NomeUsuario = '"&amp;SUBSTITUTE($G180,"'","''")&amp;"')")&amp;", "&amp;"'"&amp;SUBSTITUTE($H180,"'","''")&amp;"'"&amp;", "&amp;IF($I180="","SYSDATETIME()","'"&amp;SUBSTITUTE($I180,"'","''")&amp;"'")&amp;" WHERE NOT EXISTS (SELECT 1 FROM Posts WHERE URL_Post = "&amp;"'"&amp;SUBSTITUTE($C180,"'","''")&amp;"'"&amp;");")</f>
        <v/>
      </c>
    </row>
    <row r="181" customFormat="false" ht="15" hidden="false" customHeight="false" outlineLevel="0" collapsed="false">
      <c r="A181" s="26"/>
      <c r="B181" s="26"/>
      <c r="C181" s="26"/>
      <c r="D181" s="26"/>
      <c r="E181" s="26"/>
      <c r="F181" s="26"/>
      <c r="G181" s="26"/>
      <c r="H181" s="28"/>
      <c r="I181" s="28"/>
      <c r="K181" s="25" t="str">
        <f aca="false">IF($A181="","","INSERT INTO Posts (Titulo_Post, Resumo, URL_Post, URL_Imagem, Fonte, ID_Categoria, ID_Autor, DataPublicacao, DataColeta) SELECT "&amp;"'"&amp;SUBSTITUTE($A181,"'","''")&amp;"'"&amp;", "&amp;IF($B181="","NULL","'"&amp;SUBSTITUTE($B181,"'","''")&amp;"'")&amp;", "&amp;"'"&amp;SUBSTITUTE($C181,"'","''")&amp;"'"&amp;", "&amp;IF($D181="","NULL","'"&amp;SUBSTITUTE($D181,"'","''")&amp;"'")&amp;", "&amp;IF($E181="","NULL","'"&amp;SUBSTITUTE($E181,"'","''")&amp;"'")&amp;", "&amp;"(SELECT ID_Categoria FROM Categorias WHERE NomeCategoria = '"&amp;SUBSTITUTE($F181,"'","''")&amp;"')"&amp;", "&amp;IF($G181="","NULL","(SELECT ID_Usuario FROM Usuario WHERE NomeUsuario = '"&amp;SUBSTITUTE($G181,"'","''")&amp;"')")&amp;", "&amp;"'"&amp;SUBSTITUTE($H181,"'","''")&amp;"'"&amp;", "&amp;IF($I181="","SYSDATETIME()","'"&amp;SUBSTITUTE($I181,"'","''")&amp;"'")&amp;" WHERE NOT EXISTS (SELECT 1 FROM Posts WHERE URL_Post = "&amp;"'"&amp;SUBSTITUTE($C181,"'","''")&amp;"'"&amp;");")</f>
        <v/>
      </c>
    </row>
    <row r="182" customFormat="false" ht="15" hidden="false" customHeight="false" outlineLevel="0" collapsed="false">
      <c r="A182" s="26"/>
      <c r="B182" s="26"/>
      <c r="C182" s="26"/>
      <c r="D182" s="26"/>
      <c r="E182" s="26"/>
      <c r="F182" s="26"/>
      <c r="G182" s="26"/>
      <c r="H182" s="28"/>
      <c r="I182" s="28"/>
      <c r="K182" s="25" t="str">
        <f aca="false">IF($A182="","","INSERT INTO Posts (Titulo_Post, Resumo, URL_Post, URL_Imagem, Fonte, ID_Categoria, ID_Autor, DataPublicacao, DataColeta) SELECT "&amp;"'"&amp;SUBSTITUTE($A182,"'","''")&amp;"'"&amp;", "&amp;IF($B182="","NULL","'"&amp;SUBSTITUTE($B182,"'","''")&amp;"'")&amp;", "&amp;"'"&amp;SUBSTITUTE($C182,"'","''")&amp;"'"&amp;", "&amp;IF($D182="","NULL","'"&amp;SUBSTITUTE($D182,"'","''")&amp;"'")&amp;", "&amp;IF($E182="","NULL","'"&amp;SUBSTITUTE($E182,"'","''")&amp;"'")&amp;", "&amp;"(SELECT ID_Categoria FROM Categorias WHERE NomeCategoria = '"&amp;SUBSTITUTE($F182,"'","''")&amp;"')"&amp;", "&amp;IF($G182="","NULL","(SELECT ID_Usuario FROM Usuario WHERE NomeUsuario = '"&amp;SUBSTITUTE($G182,"'","''")&amp;"')")&amp;", "&amp;"'"&amp;SUBSTITUTE($H182,"'","''")&amp;"'"&amp;", "&amp;IF($I182="","SYSDATETIME()","'"&amp;SUBSTITUTE($I182,"'","''")&amp;"'")&amp;" WHERE NOT EXISTS (SELECT 1 FROM Posts WHERE URL_Post = "&amp;"'"&amp;SUBSTITUTE($C182,"'","''")&amp;"'"&amp;");")</f>
        <v/>
      </c>
    </row>
    <row r="183" customFormat="false" ht="15" hidden="false" customHeight="false" outlineLevel="0" collapsed="false">
      <c r="A183" s="26"/>
      <c r="B183" s="26"/>
      <c r="C183" s="26"/>
      <c r="D183" s="26"/>
      <c r="E183" s="26"/>
      <c r="F183" s="26"/>
      <c r="G183" s="26"/>
      <c r="H183" s="28"/>
      <c r="I183" s="28"/>
      <c r="K183" s="25" t="str">
        <f aca="false">IF($A183="","","INSERT INTO Posts (Titulo_Post, Resumo, URL_Post, URL_Imagem, Fonte, ID_Categoria, ID_Autor, DataPublicacao, DataColeta) SELECT "&amp;"'"&amp;SUBSTITUTE($A183,"'","''")&amp;"'"&amp;", "&amp;IF($B183="","NULL","'"&amp;SUBSTITUTE($B183,"'","''")&amp;"'")&amp;", "&amp;"'"&amp;SUBSTITUTE($C183,"'","''")&amp;"'"&amp;", "&amp;IF($D183="","NULL","'"&amp;SUBSTITUTE($D183,"'","''")&amp;"'")&amp;", "&amp;IF($E183="","NULL","'"&amp;SUBSTITUTE($E183,"'","''")&amp;"'")&amp;", "&amp;"(SELECT ID_Categoria FROM Categorias WHERE NomeCategoria = '"&amp;SUBSTITUTE($F183,"'","''")&amp;"')"&amp;", "&amp;IF($G183="","NULL","(SELECT ID_Usuario FROM Usuario WHERE NomeUsuario = '"&amp;SUBSTITUTE($G183,"'","''")&amp;"')")&amp;", "&amp;"'"&amp;SUBSTITUTE($H183,"'","''")&amp;"'"&amp;", "&amp;IF($I183="","SYSDATETIME()","'"&amp;SUBSTITUTE($I183,"'","''")&amp;"'")&amp;" WHERE NOT EXISTS (SELECT 1 FROM Posts WHERE URL_Post = "&amp;"'"&amp;SUBSTITUTE($C183,"'","''")&amp;"'"&amp;");")</f>
        <v/>
      </c>
    </row>
    <row r="184" customFormat="false" ht="15" hidden="false" customHeight="false" outlineLevel="0" collapsed="false">
      <c r="A184" s="26"/>
      <c r="B184" s="26"/>
      <c r="C184" s="26"/>
      <c r="D184" s="26"/>
      <c r="E184" s="26"/>
      <c r="F184" s="26"/>
      <c r="G184" s="26"/>
      <c r="H184" s="28"/>
      <c r="I184" s="28"/>
      <c r="K184" s="25" t="str">
        <f aca="false">IF($A184="","","INSERT INTO Posts (Titulo_Post, Resumo, URL_Post, URL_Imagem, Fonte, ID_Categoria, ID_Autor, DataPublicacao, DataColeta) SELECT "&amp;"'"&amp;SUBSTITUTE($A184,"'","''")&amp;"'"&amp;", "&amp;IF($B184="","NULL","'"&amp;SUBSTITUTE($B184,"'","''")&amp;"'")&amp;", "&amp;"'"&amp;SUBSTITUTE($C184,"'","''")&amp;"'"&amp;", "&amp;IF($D184="","NULL","'"&amp;SUBSTITUTE($D184,"'","''")&amp;"'")&amp;", "&amp;IF($E184="","NULL","'"&amp;SUBSTITUTE($E184,"'","''")&amp;"'")&amp;", "&amp;"(SELECT ID_Categoria FROM Categorias WHERE NomeCategoria = '"&amp;SUBSTITUTE($F184,"'","''")&amp;"')"&amp;", "&amp;IF($G184="","NULL","(SELECT ID_Usuario FROM Usuario WHERE NomeUsuario = '"&amp;SUBSTITUTE($G184,"'","''")&amp;"')")&amp;", "&amp;"'"&amp;SUBSTITUTE($H184,"'","''")&amp;"'"&amp;", "&amp;IF($I184="","SYSDATETIME()","'"&amp;SUBSTITUTE($I184,"'","''")&amp;"'")&amp;" WHERE NOT EXISTS (SELECT 1 FROM Posts WHERE URL_Post = "&amp;"'"&amp;SUBSTITUTE($C184,"'","''")&amp;"'"&amp;");")</f>
        <v/>
      </c>
    </row>
    <row r="185" customFormat="false" ht="15" hidden="false" customHeight="false" outlineLevel="0" collapsed="false">
      <c r="A185" s="26"/>
      <c r="B185" s="26"/>
      <c r="C185" s="26"/>
      <c r="D185" s="26"/>
      <c r="E185" s="26"/>
      <c r="F185" s="26"/>
      <c r="G185" s="26"/>
      <c r="H185" s="28"/>
      <c r="I185" s="28"/>
      <c r="K185" s="25" t="str">
        <f aca="false">IF($A185="","","INSERT INTO Posts (Titulo_Post, Resumo, URL_Post, URL_Imagem, Fonte, ID_Categoria, ID_Autor, DataPublicacao, DataColeta) SELECT "&amp;"'"&amp;SUBSTITUTE($A185,"'","''")&amp;"'"&amp;", "&amp;IF($B185="","NULL","'"&amp;SUBSTITUTE($B185,"'","''")&amp;"'")&amp;", "&amp;"'"&amp;SUBSTITUTE($C185,"'","''")&amp;"'"&amp;", "&amp;IF($D185="","NULL","'"&amp;SUBSTITUTE($D185,"'","''")&amp;"'")&amp;", "&amp;IF($E185="","NULL","'"&amp;SUBSTITUTE($E185,"'","''")&amp;"'")&amp;", "&amp;"(SELECT ID_Categoria FROM Categorias WHERE NomeCategoria = '"&amp;SUBSTITUTE($F185,"'","''")&amp;"')"&amp;", "&amp;IF($G185="","NULL","(SELECT ID_Usuario FROM Usuario WHERE NomeUsuario = '"&amp;SUBSTITUTE($G185,"'","''")&amp;"')")&amp;", "&amp;"'"&amp;SUBSTITUTE($H185,"'","''")&amp;"'"&amp;", "&amp;IF($I185="","SYSDATETIME()","'"&amp;SUBSTITUTE($I185,"'","''")&amp;"'")&amp;" WHERE NOT EXISTS (SELECT 1 FROM Posts WHERE URL_Post = "&amp;"'"&amp;SUBSTITUTE($C185,"'","''")&amp;"'"&amp;");")</f>
        <v/>
      </c>
    </row>
    <row r="186" customFormat="false" ht="15" hidden="false" customHeight="false" outlineLevel="0" collapsed="false">
      <c r="A186" s="26"/>
      <c r="B186" s="26"/>
      <c r="C186" s="26"/>
      <c r="D186" s="26"/>
      <c r="E186" s="26"/>
      <c r="F186" s="26"/>
      <c r="G186" s="26"/>
      <c r="H186" s="28"/>
      <c r="I186" s="28"/>
      <c r="K186" s="25" t="str">
        <f aca="false">IF($A186="","","INSERT INTO Posts (Titulo_Post, Resumo, URL_Post, URL_Imagem, Fonte, ID_Categoria, ID_Autor, DataPublicacao, DataColeta) SELECT "&amp;"'"&amp;SUBSTITUTE($A186,"'","''")&amp;"'"&amp;", "&amp;IF($B186="","NULL","'"&amp;SUBSTITUTE($B186,"'","''")&amp;"'")&amp;", "&amp;"'"&amp;SUBSTITUTE($C186,"'","''")&amp;"'"&amp;", "&amp;IF($D186="","NULL","'"&amp;SUBSTITUTE($D186,"'","''")&amp;"'")&amp;", "&amp;IF($E186="","NULL","'"&amp;SUBSTITUTE($E186,"'","''")&amp;"'")&amp;", "&amp;"(SELECT ID_Categoria FROM Categorias WHERE NomeCategoria = '"&amp;SUBSTITUTE($F186,"'","''")&amp;"')"&amp;", "&amp;IF($G186="","NULL","(SELECT ID_Usuario FROM Usuario WHERE NomeUsuario = '"&amp;SUBSTITUTE($G186,"'","''")&amp;"')")&amp;", "&amp;"'"&amp;SUBSTITUTE($H186,"'","''")&amp;"'"&amp;", "&amp;IF($I186="","SYSDATETIME()","'"&amp;SUBSTITUTE($I186,"'","''")&amp;"'")&amp;" WHERE NOT EXISTS (SELECT 1 FROM Posts WHERE URL_Post = "&amp;"'"&amp;SUBSTITUTE($C186,"'","''")&amp;"'"&amp;");")</f>
        <v/>
      </c>
    </row>
    <row r="187" customFormat="false" ht="15" hidden="false" customHeight="false" outlineLevel="0" collapsed="false">
      <c r="A187" s="26"/>
      <c r="B187" s="26"/>
      <c r="C187" s="26"/>
      <c r="D187" s="26"/>
      <c r="E187" s="26"/>
      <c r="F187" s="26"/>
      <c r="G187" s="26"/>
      <c r="H187" s="28"/>
      <c r="I187" s="28"/>
      <c r="K187" s="25" t="str">
        <f aca="false">IF($A187="","","INSERT INTO Posts (Titulo_Post, Resumo, URL_Post, URL_Imagem, Fonte, ID_Categoria, ID_Autor, DataPublicacao, DataColeta) SELECT "&amp;"'"&amp;SUBSTITUTE($A187,"'","''")&amp;"'"&amp;", "&amp;IF($B187="","NULL","'"&amp;SUBSTITUTE($B187,"'","''")&amp;"'")&amp;", "&amp;"'"&amp;SUBSTITUTE($C187,"'","''")&amp;"'"&amp;", "&amp;IF($D187="","NULL","'"&amp;SUBSTITUTE($D187,"'","''")&amp;"'")&amp;", "&amp;IF($E187="","NULL","'"&amp;SUBSTITUTE($E187,"'","''")&amp;"'")&amp;", "&amp;"(SELECT ID_Categoria FROM Categorias WHERE NomeCategoria = '"&amp;SUBSTITUTE($F187,"'","''")&amp;"')"&amp;", "&amp;IF($G187="","NULL","(SELECT ID_Usuario FROM Usuario WHERE NomeUsuario = '"&amp;SUBSTITUTE($G187,"'","''")&amp;"')")&amp;", "&amp;"'"&amp;SUBSTITUTE($H187,"'","''")&amp;"'"&amp;", "&amp;IF($I187="","SYSDATETIME()","'"&amp;SUBSTITUTE($I187,"'","''")&amp;"'")&amp;" WHERE NOT EXISTS (SELECT 1 FROM Posts WHERE URL_Post = "&amp;"'"&amp;SUBSTITUTE($C187,"'","''")&amp;"'"&amp;");")</f>
        <v/>
      </c>
    </row>
    <row r="188" customFormat="false" ht="15" hidden="false" customHeight="false" outlineLevel="0" collapsed="false">
      <c r="A188" s="26"/>
      <c r="B188" s="26"/>
      <c r="C188" s="26"/>
      <c r="D188" s="26"/>
      <c r="E188" s="26"/>
      <c r="F188" s="26"/>
      <c r="G188" s="26"/>
      <c r="H188" s="28"/>
      <c r="I188" s="28"/>
      <c r="K188" s="25" t="str">
        <f aca="false">IF($A188="","","INSERT INTO Posts (Titulo_Post, Resumo, URL_Post, URL_Imagem, Fonte, ID_Categoria, ID_Autor, DataPublicacao, DataColeta) SELECT "&amp;"'"&amp;SUBSTITUTE($A188,"'","''")&amp;"'"&amp;", "&amp;IF($B188="","NULL","'"&amp;SUBSTITUTE($B188,"'","''")&amp;"'")&amp;", "&amp;"'"&amp;SUBSTITUTE($C188,"'","''")&amp;"'"&amp;", "&amp;IF($D188="","NULL","'"&amp;SUBSTITUTE($D188,"'","''")&amp;"'")&amp;", "&amp;IF($E188="","NULL","'"&amp;SUBSTITUTE($E188,"'","''")&amp;"'")&amp;", "&amp;"(SELECT ID_Categoria FROM Categorias WHERE NomeCategoria = '"&amp;SUBSTITUTE($F188,"'","''")&amp;"')"&amp;", "&amp;IF($G188="","NULL","(SELECT ID_Usuario FROM Usuario WHERE NomeUsuario = '"&amp;SUBSTITUTE($G188,"'","''")&amp;"')")&amp;", "&amp;"'"&amp;SUBSTITUTE($H188,"'","''")&amp;"'"&amp;", "&amp;IF($I188="","SYSDATETIME()","'"&amp;SUBSTITUTE($I188,"'","''")&amp;"'")&amp;" WHERE NOT EXISTS (SELECT 1 FROM Posts WHERE URL_Post = "&amp;"'"&amp;SUBSTITUTE($C188,"'","''")&amp;"'"&amp;");")</f>
        <v/>
      </c>
    </row>
    <row r="189" customFormat="false" ht="15" hidden="false" customHeight="false" outlineLevel="0" collapsed="false">
      <c r="A189" s="26"/>
      <c r="B189" s="26"/>
      <c r="C189" s="26"/>
      <c r="D189" s="26"/>
      <c r="E189" s="26"/>
      <c r="F189" s="26"/>
      <c r="G189" s="26"/>
      <c r="H189" s="28"/>
      <c r="I189" s="28"/>
      <c r="K189" s="25" t="str">
        <f aca="false">IF($A189="","","INSERT INTO Posts (Titulo_Post, Resumo, URL_Post, URL_Imagem, Fonte, ID_Categoria, ID_Autor, DataPublicacao, DataColeta) SELECT "&amp;"'"&amp;SUBSTITUTE($A189,"'","''")&amp;"'"&amp;", "&amp;IF($B189="","NULL","'"&amp;SUBSTITUTE($B189,"'","''")&amp;"'")&amp;", "&amp;"'"&amp;SUBSTITUTE($C189,"'","''")&amp;"'"&amp;", "&amp;IF($D189="","NULL","'"&amp;SUBSTITUTE($D189,"'","''")&amp;"'")&amp;", "&amp;IF($E189="","NULL","'"&amp;SUBSTITUTE($E189,"'","''")&amp;"'")&amp;", "&amp;"(SELECT ID_Categoria FROM Categorias WHERE NomeCategoria = '"&amp;SUBSTITUTE($F189,"'","''")&amp;"')"&amp;", "&amp;IF($G189="","NULL","(SELECT ID_Usuario FROM Usuario WHERE NomeUsuario = '"&amp;SUBSTITUTE($G189,"'","''")&amp;"')")&amp;", "&amp;"'"&amp;SUBSTITUTE($H189,"'","''")&amp;"'"&amp;", "&amp;IF($I189="","SYSDATETIME()","'"&amp;SUBSTITUTE($I189,"'","''")&amp;"'")&amp;" WHERE NOT EXISTS (SELECT 1 FROM Posts WHERE URL_Post = "&amp;"'"&amp;SUBSTITUTE($C189,"'","''")&amp;"'"&amp;");")</f>
        <v/>
      </c>
    </row>
    <row r="190" customFormat="false" ht="15" hidden="false" customHeight="false" outlineLevel="0" collapsed="false">
      <c r="A190" s="26"/>
      <c r="B190" s="26"/>
      <c r="C190" s="26"/>
      <c r="D190" s="26"/>
      <c r="E190" s="26"/>
      <c r="F190" s="26"/>
      <c r="G190" s="26"/>
      <c r="H190" s="28"/>
      <c r="I190" s="28"/>
      <c r="K190" s="25" t="str">
        <f aca="false">IF($A190="","","INSERT INTO Posts (Titulo_Post, Resumo, URL_Post, URL_Imagem, Fonte, ID_Categoria, ID_Autor, DataPublicacao, DataColeta) SELECT "&amp;"'"&amp;SUBSTITUTE($A190,"'","''")&amp;"'"&amp;", "&amp;IF($B190="","NULL","'"&amp;SUBSTITUTE($B190,"'","''")&amp;"'")&amp;", "&amp;"'"&amp;SUBSTITUTE($C190,"'","''")&amp;"'"&amp;", "&amp;IF($D190="","NULL","'"&amp;SUBSTITUTE($D190,"'","''")&amp;"'")&amp;", "&amp;IF($E190="","NULL","'"&amp;SUBSTITUTE($E190,"'","''")&amp;"'")&amp;", "&amp;"(SELECT ID_Categoria FROM Categorias WHERE NomeCategoria = '"&amp;SUBSTITUTE($F190,"'","''")&amp;"')"&amp;", "&amp;IF($G190="","NULL","(SELECT ID_Usuario FROM Usuario WHERE NomeUsuario = '"&amp;SUBSTITUTE($G190,"'","''")&amp;"')")&amp;", "&amp;"'"&amp;SUBSTITUTE($H190,"'","''")&amp;"'"&amp;", "&amp;IF($I190="","SYSDATETIME()","'"&amp;SUBSTITUTE($I190,"'","''")&amp;"'")&amp;" WHERE NOT EXISTS (SELECT 1 FROM Posts WHERE URL_Post = "&amp;"'"&amp;SUBSTITUTE($C190,"'","''")&amp;"'"&amp;");")</f>
        <v/>
      </c>
    </row>
    <row r="191" customFormat="false" ht="15" hidden="false" customHeight="false" outlineLevel="0" collapsed="false">
      <c r="A191" s="26"/>
      <c r="B191" s="26"/>
      <c r="C191" s="26"/>
      <c r="D191" s="26"/>
      <c r="E191" s="26"/>
      <c r="F191" s="26"/>
      <c r="G191" s="26"/>
      <c r="H191" s="28"/>
      <c r="I191" s="28"/>
      <c r="K191" s="25" t="str">
        <f aca="false">IF($A191="","","INSERT INTO Posts (Titulo_Post, Resumo, URL_Post, URL_Imagem, Fonte, ID_Categoria, ID_Autor, DataPublicacao, DataColeta) SELECT "&amp;"'"&amp;SUBSTITUTE($A191,"'","''")&amp;"'"&amp;", "&amp;IF($B191="","NULL","'"&amp;SUBSTITUTE($B191,"'","''")&amp;"'")&amp;", "&amp;"'"&amp;SUBSTITUTE($C191,"'","''")&amp;"'"&amp;", "&amp;IF($D191="","NULL","'"&amp;SUBSTITUTE($D191,"'","''")&amp;"'")&amp;", "&amp;IF($E191="","NULL","'"&amp;SUBSTITUTE($E191,"'","''")&amp;"'")&amp;", "&amp;"(SELECT ID_Categoria FROM Categorias WHERE NomeCategoria = '"&amp;SUBSTITUTE($F191,"'","''")&amp;"')"&amp;", "&amp;IF($G191="","NULL","(SELECT ID_Usuario FROM Usuario WHERE NomeUsuario = '"&amp;SUBSTITUTE($G191,"'","''")&amp;"')")&amp;", "&amp;"'"&amp;SUBSTITUTE($H191,"'","''")&amp;"'"&amp;", "&amp;IF($I191="","SYSDATETIME()","'"&amp;SUBSTITUTE($I191,"'","''")&amp;"'")&amp;" WHERE NOT EXISTS (SELECT 1 FROM Posts WHERE URL_Post = "&amp;"'"&amp;SUBSTITUTE($C191,"'","''")&amp;"'"&amp;");")</f>
        <v/>
      </c>
    </row>
    <row r="192" customFormat="false" ht="15" hidden="false" customHeight="false" outlineLevel="0" collapsed="false">
      <c r="A192" s="26"/>
      <c r="B192" s="26"/>
      <c r="C192" s="26"/>
      <c r="D192" s="26"/>
      <c r="E192" s="26"/>
      <c r="F192" s="26"/>
      <c r="G192" s="26"/>
      <c r="H192" s="28"/>
      <c r="I192" s="28"/>
      <c r="K192" s="25" t="str">
        <f aca="false">IF($A192="","","INSERT INTO Posts (Titulo_Post, Resumo, URL_Post, URL_Imagem, Fonte, ID_Categoria, ID_Autor, DataPublicacao, DataColeta) SELECT "&amp;"'"&amp;SUBSTITUTE($A192,"'","''")&amp;"'"&amp;", "&amp;IF($B192="","NULL","'"&amp;SUBSTITUTE($B192,"'","''")&amp;"'")&amp;", "&amp;"'"&amp;SUBSTITUTE($C192,"'","''")&amp;"'"&amp;", "&amp;IF($D192="","NULL","'"&amp;SUBSTITUTE($D192,"'","''")&amp;"'")&amp;", "&amp;IF($E192="","NULL","'"&amp;SUBSTITUTE($E192,"'","''")&amp;"'")&amp;", "&amp;"(SELECT ID_Categoria FROM Categorias WHERE NomeCategoria = '"&amp;SUBSTITUTE($F192,"'","''")&amp;"')"&amp;", "&amp;IF($G192="","NULL","(SELECT ID_Usuario FROM Usuario WHERE NomeUsuario = '"&amp;SUBSTITUTE($G192,"'","''")&amp;"')")&amp;", "&amp;"'"&amp;SUBSTITUTE($H192,"'","''")&amp;"'"&amp;", "&amp;IF($I192="","SYSDATETIME()","'"&amp;SUBSTITUTE($I192,"'","''")&amp;"'")&amp;" WHERE NOT EXISTS (SELECT 1 FROM Posts WHERE URL_Post = "&amp;"'"&amp;SUBSTITUTE($C192,"'","''")&amp;"'"&amp;");")</f>
        <v/>
      </c>
    </row>
    <row r="193" customFormat="false" ht="15" hidden="false" customHeight="false" outlineLevel="0" collapsed="false">
      <c r="A193" s="26"/>
      <c r="B193" s="26"/>
      <c r="C193" s="26"/>
      <c r="D193" s="26"/>
      <c r="E193" s="26"/>
      <c r="F193" s="26"/>
      <c r="G193" s="26"/>
      <c r="H193" s="28"/>
      <c r="I193" s="28"/>
      <c r="K193" s="25" t="str">
        <f aca="false">IF($A193="","","INSERT INTO Posts (Titulo_Post, Resumo, URL_Post, URL_Imagem, Fonte, ID_Categoria, ID_Autor, DataPublicacao, DataColeta) SELECT "&amp;"'"&amp;SUBSTITUTE($A193,"'","''")&amp;"'"&amp;", "&amp;IF($B193="","NULL","'"&amp;SUBSTITUTE($B193,"'","''")&amp;"'")&amp;", "&amp;"'"&amp;SUBSTITUTE($C193,"'","''")&amp;"'"&amp;", "&amp;IF($D193="","NULL","'"&amp;SUBSTITUTE($D193,"'","''")&amp;"'")&amp;", "&amp;IF($E193="","NULL","'"&amp;SUBSTITUTE($E193,"'","''")&amp;"'")&amp;", "&amp;"(SELECT ID_Categoria FROM Categorias WHERE NomeCategoria = '"&amp;SUBSTITUTE($F193,"'","''")&amp;"')"&amp;", "&amp;IF($G193="","NULL","(SELECT ID_Usuario FROM Usuario WHERE NomeUsuario = '"&amp;SUBSTITUTE($G193,"'","''")&amp;"')")&amp;", "&amp;"'"&amp;SUBSTITUTE($H193,"'","''")&amp;"'"&amp;", "&amp;IF($I193="","SYSDATETIME()","'"&amp;SUBSTITUTE($I193,"'","''")&amp;"'")&amp;" WHERE NOT EXISTS (SELECT 1 FROM Posts WHERE URL_Post = "&amp;"'"&amp;SUBSTITUTE($C193,"'","''")&amp;"'"&amp;");")</f>
        <v/>
      </c>
    </row>
    <row r="194" customFormat="false" ht="15" hidden="false" customHeight="false" outlineLevel="0" collapsed="false">
      <c r="A194" s="26"/>
      <c r="B194" s="26"/>
      <c r="C194" s="26"/>
      <c r="D194" s="26"/>
      <c r="E194" s="26"/>
      <c r="F194" s="26"/>
      <c r="G194" s="26"/>
      <c r="H194" s="28"/>
      <c r="I194" s="28"/>
      <c r="K194" s="25" t="str">
        <f aca="false">IF($A194="","","INSERT INTO Posts (Titulo_Post, Resumo, URL_Post, URL_Imagem, Fonte, ID_Categoria, ID_Autor, DataPublicacao, DataColeta) SELECT "&amp;"'"&amp;SUBSTITUTE($A194,"'","''")&amp;"'"&amp;", "&amp;IF($B194="","NULL","'"&amp;SUBSTITUTE($B194,"'","''")&amp;"'")&amp;", "&amp;"'"&amp;SUBSTITUTE($C194,"'","''")&amp;"'"&amp;", "&amp;IF($D194="","NULL","'"&amp;SUBSTITUTE($D194,"'","''")&amp;"'")&amp;", "&amp;IF($E194="","NULL","'"&amp;SUBSTITUTE($E194,"'","''")&amp;"'")&amp;", "&amp;"(SELECT ID_Categoria FROM Categorias WHERE NomeCategoria = '"&amp;SUBSTITUTE($F194,"'","''")&amp;"')"&amp;", "&amp;IF($G194="","NULL","(SELECT ID_Usuario FROM Usuario WHERE NomeUsuario = '"&amp;SUBSTITUTE($G194,"'","''")&amp;"')")&amp;", "&amp;"'"&amp;SUBSTITUTE($H194,"'","''")&amp;"'"&amp;", "&amp;IF($I194="","SYSDATETIME()","'"&amp;SUBSTITUTE($I194,"'","''")&amp;"'")&amp;" WHERE NOT EXISTS (SELECT 1 FROM Posts WHERE URL_Post = "&amp;"'"&amp;SUBSTITUTE($C194,"'","''")&amp;"'"&amp;");")</f>
        <v/>
      </c>
    </row>
    <row r="195" customFormat="false" ht="15" hidden="false" customHeight="false" outlineLevel="0" collapsed="false">
      <c r="A195" s="26"/>
      <c r="B195" s="26"/>
      <c r="C195" s="26"/>
      <c r="D195" s="26"/>
      <c r="E195" s="26"/>
      <c r="F195" s="26"/>
      <c r="G195" s="26"/>
      <c r="H195" s="28"/>
      <c r="I195" s="28"/>
      <c r="K195" s="25" t="str">
        <f aca="false">IF($A195="","","INSERT INTO Posts (Titulo_Post, Resumo, URL_Post, URL_Imagem, Fonte, ID_Categoria, ID_Autor, DataPublicacao, DataColeta) SELECT "&amp;"'"&amp;SUBSTITUTE($A195,"'","''")&amp;"'"&amp;", "&amp;IF($B195="","NULL","'"&amp;SUBSTITUTE($B195,"'","''")&amp;"'")&amp;", "&amp;"'"&amp;SUBSTITUTE($C195,"'","''")&amp;"'"&amp;", "&amp;IF($D195="","NULL","'"&amp;SUBSTITUTE($D195,"'","''")&amp;"'")&amp;", "&amp;IF($E195="","NULL","'"&amp;SUBSTITUTE($E195,"'","''")&amp;"'")&amp;", "&amp;"(SELECT ID_Categoria FROM Categorias WHERE NomeCategoria = '"&amp;SUBSTITUTE($F195,"'","''")&amp;"')"&amp;", "&amp;IF($G195="","NULL","(SELECT ID_Usuario FROM Usuario WHERE NomeUsuario = '"&amp;SUBSTITUTE($G195,"'","''")&amp;"')")&amp;", "&amp;"'"&amp;SUBSTITUTE($H195,"'","''")&amp;"'"&amp;", "&amp;IF($I195="","SYSDATETIME()","'"&amp;SUBSTITUTE($I195,"'","''")&amp;"'")&amp;" WHERE NOT EXISTS (SELECT 1 FROM Posts WHERE URL_Post = "&amp;"'"&amp;SUBSTITUTE($C195,"'","''")&amp;"'"&amp;");")</f>
        <v/>
      </c>
    </row>
    <row r="196" customFormat="false" ht="15" hidden="false" customHeight="false" outlineLevel="0" collapsed="false">
      <c r="A196" s="26"/>
      <c r="B196" s="26"/>
      <c r="C196" s="26"/>
      <c r="D196" s="26"/>
      <c r="E196" s="26"/>
      <c r="F196" s="26"/>
      <c r="G196" s="26"/>
      <c r="H196" s="28"/>
      <c r="I196" s="28"/>
      <c r="K196" s="25" t="str">
        <f aca="false">IF($A196="","","INSERT INTO Posts (Titulo_Post, Resumo, URL_Post, URL_Imagem, Fonte, ID_Categoria, ID_Autor, DataPublicacao, DataColeta) SELECT "&amp;"'"&amp;SUBSTITUTE($A196,"'","''")&amp;"'"&amp;", "&amp;IF($B196="","NULL","'"&amp;SUBSTITUTE($B196,"'","''")&amp;"'")&amp;", "&amp;"'"&amp;SUBSTITUTE($C196,"'","''")&amp;"'"&amp;", "&amp;IF($D196="","NULL","'"&amp;SUBSTITUTE($D196,"'","''")&amp;"'")&amp;", "&amp;IF($E196="","NULL","'"&amp;SUBSTITUTE($E196,"'","''")&amp;"'")&amp;", "&amp;"(SELECT ID_Categoria FROM Categorias WHERE NomeCategoria = '"&amp;SUBSTITUTE($F196,"'","''")&amp;"')"&amp;", "&amp;IF($G196="","NULL","(SELECT ID_Usuario FROM Usuario WHERE NomeUsuario = '"&amp;SUBSTITUTE($G196,"'","''")&amp;"')")&amp;", "&amp;"'"&amp;SUBSTITUTE($H196,"'","''")&amp;"'"&amp;", "&amp;IF($I196="","SYSDATETIME()","'"&amp;SUBSTITUTE($I196,"'","''")&amp;"'")&amp;" WHERE NOT EXISTS (SELECT 1 FROM Posts WHERE URL_Post = "&amp;"'"&amp;SUBSTITUTE($C196,"'","''")&amp;"'"&amp;");")</f>
        <v/>
      </c>
    </row>
    <row r="197" customFormat="false" ht="15" hidden="false" customHeight="false" outlineLevel="0" collapsed="false">
      <c r="A197" s="26"/>
      <c r="B197" s="26"/>
      <c r="C197" s="26"/>
      <c r="D197" s="26"/>
      <c r="E197" s="26"/>
      <c r="F197" s="26"/>
      <c r="G197" s="26"/>
      <c r="H197" s="28"/>
      <c r="I197" s="28"/>
      <c r="K197" s="25" t="str">
        <f aca="false">IF($A197="","","INSERT INTO Posts (Titulo_Post, Resumo, URL_Post, URL_Imagem, Fonte, ID_Categoria, ID_Autor, DataPublicacao, DataColeta) SELECT "&amp;"'"&amp;SUBSTITUTE($A197,"'","''")&amp;"'"&amp;", "&amp;IF($B197="","NULL","'"&amp;SUBSTITUTE($B197,"'","''")&amp;"'")&amp;", "&amp;"'"&amp;SUBSTITUTE($C197,"'","''")&amp;"'"&amp;", "&amp;IF($D197="","NULL","'"&amp;SUBSTITUTE($D197,"'","''")&amp;"'")&amp;", "&amp;IF($E197="","NULL","'"&amp;SUBSTITUTE($E197,"'","''")&amp;"'")&amp;", "&amp;"(SELECT ID_Categoria FROM Categorias WHERE NomeCategoria = '"&amp;SUBSTITUTE($F197,"'","''")&amp;"')"&amp;", "&amp;IF($G197="","NULL","(SELECT ID_Usuario FROM Usuario WHERE NomeUsuario = '"&amp;SUBSTITUTE($G197,"'","''")&amp;"')")&amp;", "&amp;"'"&amp;SUBSTITUTE($H197,"'","''")&amp;"'"&amp;", "&amp;IF($I197="","SYSDATETIME()","'"&amp;SUBSTITUTE($I197,"'","''")&amp;"'")&amp;" WHERE NOT EXISTS (SELECT 1 FROM Posts WHERE URL_Post = "&amp;"'"&amp;SUBSTITUTE($C197,"'","''")&amp;"'"&amp;");")</f>
        <v/>
      </c>
    </row>
    <row r="198" customFormat="false" ht="15" hidden="false" customHeight="false" outlineLevel="0" collapsed="false">
      <c r="A198" s="26"/>
      <c r="B198" s="26"/>
      <c r="C198" s="26"/>
      <c r="D198" s="26"/>
      <c r="E198" s="26"/>
      <c r="F198" s="26"/>
      <c r="G198" s="26"/>
      <c r="H198" s="28"/>
      <c r="I198" s="28"/>
      <c r="K198" s="25" t="str">
        <f aca="false">IF($A198="","","INSERT INTO Posts (Titulo_Post, Resumo, URL_Post, URL_Imagem, Fonte, ID_Categoria, ID_Autor, DataPublicacao, DataColeta) SELECT "&amp;"'"&amp;SUBSTITUTE($A198,"'","''")&amp;"'"&amp;", "&amp;IF($B198="","NULL","'"&amp;SUBSTITUTE($B198,"'","''")&amp;"'")&amp;", "&amp;"'"&amp;SUBSTITUTE($C198,"'","''")&amp;"'"&amp;", "&amp;IF($D198="","NULL","'"&amp;SUBSTITUTE($D198,"'","''")&amp;"'")&amp;", "&amp;IF($E198="","NULL","'"&amp;SUBSTITUTE($E198,"'","''")&amp;"'")&amp;", "&amp;"(SELECT ID_Categoria FROM Categorias WHERE NomeCategoria = '"&amp;SUBSTITUTE($F198,"'","''")&amp;"')"&amp;", "&amp;IF($G198="","NULL","(SELECT ID_Usuario FROM Usuario WHERE NomeUsuario = '"&amp;SUBSTITUTE($G198,"'","''")&amp;"')")&amp;", "&amp;"'"&amp;SUBSTITUTE($H198,"'","''")&amp;"'"&amp;", "&amp;IF($I198="","SYSDATETIME()","'"&amp;SUBSTITUTE($I198,"'","''")&amp;"'")&amp;" WHERE NOT EXISTS (SELECT 1 FROM Posts WHERE URL_Post = "&amp;"'"&amp;SUBSTITUTE($C198,"'","''")&amp;"'"&amp;");")</f>
        <v/>
      </c>
    </row>
    <row r="199" customFormat="false" ht="15" hidden="false" customHeight="false" outlineLevel="0" collapsed="false">
      <c r="A199" s="26"/>
      <c r="B199" s="26"/>
      <c r="C199" s="26"/>
      <c r="D199" s="26"/>
      <c r="E199" s="26"/>
      <c r="F199" s="26"/>
      <c r="G199" s="26"/>
      <c r="H199" s="28"/>
      <c r="I199" s="28"/>
      <c r="K199" s="25" t="str">
        <f aca="false">IF($A199="","","INSERT INTO Posts (Titulo_Post, Resumo, URL_Post, URL_Imagem, Fonte, ID_Categoria, ID_Autor, DataPublicacao, DataColeta) SELECT "&amp;"'"&amp;SUBSTITUTE($A199,"'","''")&amp;"'"&amp;", "&amp;IF($B199="","NULL","'"&amp;SUBSTITUTE($B199,"'","''")&amp;"'")&amp;", "&amp;"'"&amp;SUBSTITUTE($C199,"'","''")&amp;"'"&amp;", "&amp;IF($D199="","NULL","'"&amp;SUBSTITUTE($D199,"'","''")&amp;"'")&amp;", "&amp;IF($E199="","NULL","'"&amp;SUBSTITUTE($E199,"'","''")&amp;"'")&amp;", "&amp;"(SELECT ID_Categoria FROM Categorias WHERE NomeCategoria = '"&amp;SUBSTITUTE($F199,"'","''")&amp;"')"&amp;", "&amp;IF($G199="","NULL","(SELECT ID_Usuario FROM Usuario WHERE NomeUsuario = '"&amp;SUBSTITUTE($G199,"'","''")&amp;"')")&amp;", "&amp;"'"&amp;SUBSTITUTE($H199,"'","''")&amp;"'"&amp;", "&amp;IF($I199="","SYSDATETIME()","'"&amp;SUBSTITUTE($I199,"'","''")&amp;"'")&amp;" WHERE NOT EXISTS (SELECT 1 FROM Posts WHERE URL_Post = "&amp;"'"&amp;SUBSTITUTE($C199,"'","''")&amp;"'"&amp;");")</f>
        <v/>
      </c>
    </row>
    <row r="200" customFormat="false" ht="15" hidden="false" customHeight="false" outlineLevel="0" collapsed="false">
      <c r="A200" s="26"/>
      <c r="B200" s="26"/>
      <c r="C200" s="26"/>
      <c r="D200" s="26"/>
      <c r="E200" s="26"/>
      <c r="F200" s="26"/>
      <c r="G200" s="26"/>
      <c r="H200" s="28"/>
      <c r="I200" s="28"/>
      <c r="K200" s="25" t="str">
        <f aca="false">IF($A200="","","INSERT INTO Posts (Titulo_Post, Resumo, URL_Post, URL_Imagem, Fonte, ID_Categoria, ID_Autor, DataPublicacao, DataColeta) SELECT "&amp;"'"&amp;SUBSTITUTE($A200,"'","''")&amp;"'"&amp;", "&amp;IF($B200="","NULL","'"&amp;SUBSTITUTE($B200,"'","''")&amp;"'")&amp;", "&amp;"'"&amp;SUBSTITUTE($C200,"'","''")&amp;"'"&amp;", "&amp;IF($D200="","NULL","'"&amp;SUBSTITUTE($D200,"'","''")&amp;"'")&amp;", "&amp;IF($E200="","NULL","'"&amp;SUBSTITUTE($E200,"'","''")&amp;"'")&amp;", "&amp;"(SELECT ID_Categoria FROM Categorias WHERE NomeCategoria = '"&amp;SUBSTITUTE($F200,"'","''")&amp;"')"&amp;", "&amp;IF($G200="","NULL","(SELECT ID_Usuario FROM Usuario WHERE NomeUsuario = '"&amp;SUBSTITUTE($G200,"'","''")&amp;"')")&amp;", "&amp;"'"&amp;SUBSTITUTE($H200,"'","''")&amp;"'"&amp;", "&amp;IF($I200="","SYSDATETIME()","'"&amp;SUBSTITUTE($I200,"'","''")&amp;"'")&amp;" WHERE NOT EXISTS (SELECT 1 FROM Posts WHERE URL_Post = "&amp;"'"&amp;SUBSTITUTE($C200,"'","''")&amp;"'"&amp;");")</f>
        <v/>
      </c>
    </row>
    <row r="201" customFormat="false" ht="15" hidden="false" customHeight="false" outlineLevel="0" collapsed="false">
      <c r="A201" s="26"/>
      <c r="B201" s="26"/>
      <c r="C201" s="26"/>
      <c r="D201" s="26"/>
      <c r="E201" s="26"/>
      <c r="F201" s="26"/>
      <c r="G201" s="26"/>
      <c r="H201" s="28"/>
      <c r="I201" s="28"/>
      <c r="K201" s="25" t="str">
        <f aca="false">IF($A201="","","INSERT INTO Posts (Titulo_Post, Resumo, URL_Post, URL_Imagem, Fonte, ID_Categoria, ID_Autor, DataPublicacao, DataColeta) SELECT "&amp;"'"&amp;SUBSTITUTE($A201,"'","''")&amp;"'"&amp;", "&amp;IF($B201="","NULL","'"&amp;SUBSTITUTE($B201,"'","''")&amp;"'")&amp;", "&amp;"'"&amp;SUBSTITUTE($C201,"'","''")&amp;"'"&amp;", "&amp;IF($D201="","NULL","'"&amp;SUBSTITUTE($D201,"'","''")&amp;"'")&amp;", "&amp;IF($E201="","NULL","'"&amp;SUBSTITUTE($E201,"'","''")&amp;"'")&amp;", "&amp;"(SELECT ID_Categoria FROM Categorias WHERE NomeCategoria = '"&amp;SUBSTITUTE($F201,"'","''")&amp;"')"&amp;", "&amp;IF($G201="","NULL","(SELECT ID_Usuario FROM Usuario WHERE NomeUsuario = '"&amp;SUBSTITUTE($G201,"'","''")&amp;"')")&amp;", "&amp;"'"&amp;SUBSTITUTE($H201,"'","''")&amp;"'"&amp;", "&amp;IF($I201="","SYSDATETIME()","'"&amp;SUBSTITUTE($I201,"'","''")&amp;"'")&amp;" WHERE NOT EXISTS (SELECT 1 FROM Posts WHERE URL_Post = "&amp;"'"&amp;SUBSTITUTE($C201,"'","''")&amp;"'"&amp;");")</f>
        <v/>
      </c>
    </row>
    <row r="202" customFormat="false" ht="15" hidden="false" customHeight="false" outlineLevel="0" collapsed="false">
      <c r="A202" s="26"/>
      <c r="B202" s="26"/>
      <c r="C202" s="26"/>
      <c r="D202" s="26"/>
      <c r="E202" s="26"/>
      <c r="F202" s="26"/>
      <c r="G202" s="26"/>
      <c r="H202" s="28"/>
      <c r="I202" s="28"/>
      <c r="K202" s="25" t="str">
        <f aca="false">IF($A202="","","INSERT INTO Posts (Titulo_Post, Resumo, URL_Post, URL_Imagem, Fonte, ID_Categoria, ID_Autor, DataPublicacao, DataColeta) SELECT "&amp;"'"&amp;SUBSTITUTE($A202,"'","''")&amp;"'"&amp;", "&amp;IF($B202="","NULL","'"&amp;SUBSTITUTE($B202,"'","''")&amp;"'")&amp;", "&amp;"'"&amp;SUBSTITUTE($C202,"'","''")&amp;"'"&amp;", "&amp;IF($D202="","NULL","'"&amp;SUBSTITUTE($D202,"'","''")&amp;"'")&amp;", "&amp;IF($E202="","NULL","'"&amp;SUBSTITUTE($E202,"'","''")&amp;"'")&amp;", "&amp;"(SELECT ID_Categoria FROM Categorias WHERE NomeCategoria = '"&amp;SUBSTITUTE($F202,"'","''")&amp;"')"&amp;", "&amp;IF($G202="","NULL","(SELECT ID_Usuario FROM Usuario WHERE NomeUsuario = '"&amp;SUBSTITUTE($G202,"'","''")&amp;"')")&amp;", "&amp;"'"&amp;SUBSTITUTE($H202,"'","''")&amp;"'"&amp;", "&amp;IF($I202="","SYSDATETIME()","'"&amp;SUBSTITUTE($I202,"'","''")&amp;"'")&amp;" WHERE NOT EXISTS (SELECT 1 FROM Posts WHERE URL_Post = "&amp;"'"&amp;SUBSTITUTE($C202,"'","''")&amp;"'"&amp;");")</f>
        <v/>
      </c>
    </row>
  </sheetData>
  <dataValidations count="2">
    <dataValidation allowBlank="true" error="Escolha uma categoria ja cadastrada na aba Categorias (FK ID_Categoria)." errorStyle="stop" errorTitle="Categoria" operator="between" prompt="Escolha uma categoria ja cadastrada na aba Categorias (FK ID_Categoria)." promptTitle="Categoria" showDropDown="false" showErrorMessage="true" showInputMessage="true" sqref="F3:F202" type="list">
      <formula1>lst_Categorias</formula1>
      <formula2>0</formula2>
    </dataValidation>
    <dataValidation allowBlank="true" error="Escolha um usuario da aba Usuario, ou deixe em branco (FK ID_Autor)." errorStyle="stop" errorTitle="Autor" operator="between" prompt="Escolha um usuario da aba Usuario, ou deixe em branco (FK ID_Autor)." promptTitle="Autor" showDropDown="false" showErrorMessage="true" showInputMessage="true" sqref="G3:G202" type="list">
      <formula1>lst_Usuarios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9" style="0" width="110"/>
  </cols>
  <sheetData>
    <row r="1" customFormat="false" ht="21.75" hidden="false" customHeight="true" outlineLevel="0" collapsed="false">
      <c r="A1" s="20" t="s">
        <v>151</v>
      </c>
      <c r="B1" s="20" t="s">
        <v>169</v>
      </c>
      <c r="C1" s="20" t="s">
        <v>170</v>
      </c>
      <c r="D1" s="20" t="s">
        <v>113</v>
      </c>
      <c r="E1" s="20" t="s">
        <v>114</v>
      </c>
      <c r="F1" s="20" t="s">
        <v>171</v>
      </c>
      <c r="G1" s="20" t="s">
        <v>119</v>
      </c>
      <c r="I1" s="21" t="s">
        <v>128</v>
      </c>
    </row>
    <row r="2" customFormat="false" ht="30" hidden="false" customHeight="true" outlineLevel="0" collapsed="false">
      <c r="A2" s="22" t="s">
        <v>172</v>
      </c>
      <c r="B2" s="22" t="s">
        <v>173</v>
      </c>
      <c r="C2" s="22" t="s">
        <v>174</v>
      </c>
      <c r="D2" s="22" t="s">
        <v>143</v>
      </c>
      <c r="E2" s="22" t="s">
        <v>175</v>
      </c>
      <c r="F2" s="22" t="s">
        <v>176</v>
      </c>
      <c r="G2" s="22" t="s">
        <v>177</v>
      </c>
      <c r="I2" s="23" t="s">
        <v>131</v>
      </c>
    </row>
    <row r="3" customFormat="false" ht="15" hidden="false" customHeight="false" outlineLevel="0" collapsed="false">
      <c r="A3" s="24" t="s">
        <v>164</v>
      </c>
      <c r="B3" s="24" t="s">
        <v>145</v>
      </c>
      <c r="C3" s="24" t="s">
        <v>178</v>
      </c>
      <c r="D3" s="27" t="s">
        <v>179</v>
      </c>
      <c r="E3" s="24" t="s">
        <v>180</v>
      </c>
      <c r="F3" s="24" t="s">
        <v>145</v>
      </c>
      <c r="G3" s="27" t="s">
        <v>181</v>
      </c>
      <c r="I3" s="25" t="str">
        <f aca="false">IF($A3="","","INSERT INTO Comentarios (ID_Post, ID_Autor, Texto, DataComentario, Status_Moderacao, ID_Moderador, DataModeracao) SELECT "&amp;"(SELECT ID_Post FROM Posts WHERE URL_Post = '"&amp;SUBSTITUTE($A3,"'","''")&amp;"')"&amp;", "&amp;"(SELECT ID_Usuario FROM Usuario WHERE NomeUsuario = '"&amp;SUBSTITUTE($B3,"'","''")&amp;"')"&amp;", "&amp;"'"&amp;SUBSTITUTE($C3,"'","''")&amp;"'"&amp;", "&amp;IF($D3="","SYSDATETIME()","'"&amp;SUBSTITUTE($D3,"'","''")&amp;"'")&amp;", "&amp;IF($E3="","'Pendente'","'"&amp;SUBSTITUTE($E3,"'","''")&amp;"'")&amp;", "&amp;IF($F3="","NULL","(SELECT ID_Usuario FROM Usuario WHERE NomeUsuario = '"&amp;SUBSTITUTE($F3,"'","''")&amp;"')")&amp;", "&amp;IF($G3="","NULL","'"&amp;SUBSTITUTE($G3,"'","''")&amp;"'")&amp;" WHERE NOT EXISTS (SELECT 1 FROM Comentarios c JOIN Posts p ON p.ID_Post = c.ID_Post JOIN Usuario u ON u.ID_Usuario = c.ID_Autor WHERE p.URL_Post = "&amp;"'"&amp;SUBSTITUTE($A3,"'","''")&amp;"'"&amp;" AND u.NomeUsuario = "&amp;"'"&amp;SUBSTITUTE($B3,"'","''")&amp;"'"&amp;" AND c.Texto = "&amp;"'"&amp;SUBSTITUTE($C3,"'","''")&amp;"'"&amp;");")</f>
        <v>INSERT INTO Comentarios (ID_Post, ID_Autor, Texto, DataComentario, Status_Moderacao, ID_Moderador, DataModeracao) SELECT (SELECT ID_Post FROM Posts WHERE URL_Post = 'https://exemplo.com/noticias/lisimetro-tempo-real'), (SELECT ID_Usuario FROM Usuario WHERE NomeUsuario = 'wjunior'), 'Muito bom o equipamento, ja queria ver os dados abertos.', '2026-09-20 10:15:00', 'Aprovado', (SELECT ID_Usuario FROM Usuario WHERE NomeUsuario = 'wjunior'), '2026-09-20 11:00:00' WHERE NOT EXISTS (SELECT 1 FROM Comentarios c JOIN Posts p ON p.ID_Post = c.ID_Post JOIN Usuario u ON u.ID_Usuario = c.ID_Autor WHERE p.URL_Post = 'https://exemplo.com/noticias/lisimetro-tempo-real' AND u.NomeUsuario = 'wjunior' AND c.Texto = 'Muito bom o equipamento, ja queria ver os dados abertos.');</v>
      </c>
    </row>
    <row r="4" customFormat="false" ht="15" hidden="false" customHeight="false" outlineLevel="0" collapsed="false">
      <c r="A4" s="26"/>
      <c r="B4" s="26"/>
      <c r="C4" s="26"/>
      <c r="D4" s="28"/>
      <c r="E4" s="26"/>
      <c r="F4" s="26"/>
      <c r="G4" s="28"/>
      <c r="I4" s="25" t="str">
        <f aca="false">IF($A4="","","INSERT INTO Comentarios (ID_Post, ID_Autor, Texto, DataComentario, Status_Moderacao, ID_Moderador, DataModeracao) SELECT "&amp;"(SELECT ID_Post FROM Posts WHERE URL_Post = '"&amp;SUBSTITUTE($A4,"'","''")&amp;"')"&amp;", "&amp;"(SELECT ID_Usuario FROM Usuario WHERE NomeUsuario = '"&amp;SUBSTITUTE($B4,"'","''")&amp;"')"&amp;", "&amp;"'"&amp;SUBSTITUTE($C4,"'","''")&amp;"'"&amp;", "&amp;IF($D4="","SYSDATETIME()","'"&amp;SUBSTITUTE($D4,"'","''")&amp;"'")&amp;", "&amp;IF($E4="","'Pendente'","'"&amp;SUBSTITUTE($E4,"'","''")&amp;"'")&amp;", "&amp;IF($F4="","NULL","(SELECT ID_Usuario FROM Usuario WHERE NomeUsuario = '"&amp;SUBSTITUTE($F4,"'","''")&amp;"')")&amp;", "&amp;IF($G4="","NULL","'"&amp;SUBSTITUTE($G4,"'","''")&amp;"'")&amp;" WHERE NOT EXISTS (SELECT 1 FROM Comentarios c JOIN Posts p ON p.ID_Post = c.ID_Post JOIN Usuario u ON u.ID_Usuario = c.ID_Autor WHERE p.URL_Post = "&amp;"'"&amp;SUBSTITUTE($A4,"'","''")&amp;"'"&amp;" AND u.NomeUsuario = "&amp;"'"&amp;SUBSTITUTE($B4,"'","''")&amp;"'"&amp;" AND c.Texto = "&amp;"'"&amp;SUBSTITUTE($C4,"'","''")&amp;"'"&amp;");")</f>
        <v/>
      </c>
    </row>
    <row r="5" customFormat="false" ht="15" hidden="false" customHeight="false" outlineLevel="0" collapsed="false">
      <c r="A5" s="26"/>
      <c r="B5" s="26"/>
      <c r="C5" s="26"/>
      <c r="D5" s="28"/>
      <c r="E5" s="26"/>
      <c r="F5" s="26"/>
      <c r="G5" s="28"/>
      <c r="I5" s="25" t="str">
        <f aca="false">IF($A5="","","INSERT INTO Comentarios (ID_Post, ID_Autor, Texto, DataComentario, Status_Moderacao, ID_Moderador, DataModeracao) SELECT "&amp;"(SELECT ID_Post FROM Posts WHERE URL_Post = '"&amp;SUBSTITUTE($A5,"'","''")&amp;"')"&amp;", "&amp;"(SELECT ID_Usuario FROM Usuario WHERE NomeUsuario = '"&amp;SUBSTITUTE($B5,"'","''")&amp;"')"&amp;", "&amp;"'"&amp;SUBSTITUTE($C5,"'","''")&amp;"'"&amp;", "&amp;IF($D5="","SYSDATETIME()","'"&amp;SUBSTITUTE($D5,"'","''")&amp;"'")&amp;", "&amp;IF($E5="","'Pendente'","'"&amp;SUBSTITUTE($E5,"'","''")&amp;"'")&amp;", "&amp;IF($F5="","NULL","(SELECT ID_Usuario FROM Usuario WHERE NomeUsuario = '"&amp;SUBSTITUTE($F5,"'","''")&amp;"')")&amp;", "&amp;IF($G5="","NULL","'"&amp;SUBSTITUTE($G5,"'","''")&amp;"'")&amp;" WHERE NOT EXISTS (SELECT 1 FROM Comentarios c JOIN Posts p ON p.ID_Post = c.ID_Post JOIN Usuario u ON u.ID_Usuario = c.ID_Autor WHERE p.URL_Post = "&amp;"'"&amp;SUBSTITUTE($A5,"'","''")&amp;"'"&amp;" AND u.NomeUsuario = "&amp;"'"&amp;SUBSTITUTE($B5,"'","''")&amp;"'"&amp;" AND c.Texto = "&amp;"'"&amp;SUBSTITUTE($C5,"'","''")&amp;"'"&amp;");")</f>
        <v/>
      </c>
    </row>
    <row r="6" customFormat="false" ht="15" hidden="false" customHeight="false" outlineLevel="0" collapsed="false">
      <c r="A6" s="26"/>
      <c r="B6" s="26"/>
      <c r="C6" s="26"/>
      <c r="D6" s="28"/>
      <c r="E6" s="26"/>
      <c r="F6" s="26"/>
      <c r="G6" s="28"/>
      <c r="I6" s="25" t="str">
        <f aca="false">IF($A6="","","INSERT INTO Comentarios (ID_Post, ID_Autor, Texto, DataComentario, Status_Moderacao, ID_Moderador, DataModeracao) SELECT "&amp;"(SELECT ID_Post FROM Posts WHERE URL_Post = '"&amp;SUBSTITUTE($A6,"'","''")&amp;"')"&amp;", "&amp;"(SELECT ID_Usuario FROM Usuario WHERE NomeUsuario = '"&amp;SUBSTITUTE($B6,"'","''")&amp;"')"&amp;", "&amp;"'"&amp;SUBSTITUTE($C6,"'","''")&amp;"'"&amp;", "&amp;IF($D6="","SYSDATETIME()","'"&amp;SUBSTITUTE($D6,"'","''")&amp;"'")&amp;", "&amp;IF($E6="","'Pendente'","'"&amp;SUBSTITUTE($E6,"'","''")&amp;"'")&amp;", "&amp;IF($F6="","NULL","(SELECT ID_Usuario FROM Usuario WHERE NomeUsuario = '"&amp;SUBSTITUTE($F6,"'","''")&amp;"')")&amp;", "&amp;IF($G6="","NULL","'"&amp;SUBSTITUTE($G6,"'","''")&amp;"'")&amp;" WHERE NOT EXISTS (SELECT 1 FROM Comentarios c JOIN Posts p ON p.ID_Post = c.ID_Post JOIN Usuario u ON u.ID_Usuario = c.ID_Autor WHERE p.URL_Post = "&amp;"'"&amp;SUBSTITUTE($A6,"'","''")&amp;"'"&amp;" AND u.NomeUsuario = "&amp;"'"&amp;SUBSTITUTE($B6,"'","''")&amp;"'"&amp;" AND c.Texto = "&amp;"'"&amp;SUBSTITUTE($C6,"'","''")&amp;"'"&amp;");")</f>
        <v/>
      </c>
    </row>
    <row r="7" customFormat="false" ht="15" hidden="false" customHeight="false" outlineLevel="0" collapsed="false">
      <c r="A7" s="26"/>
      <c r="B7" s="26"/>
      <c r="C7" s="26"/>
      <c r="D7" s="28"/>
      <c r="E7" s="26"/>
      <c r="F7" s="26"/>
      <c r="G7" s="28"/>
      <c r="I7" s="25" t="str">
        <f aca="false">IF($A7="","","INSERT INTO Comentarios (ID_Post, ID_Autor, Texto, DataComentario, Status_Moderacao, ID_Moderador, DataModeracao) SELECT "&amp;"(SELECT ID_Post FROM Posts WHERE URL_Post = '"&amp;SUBSTITUTE($A7,"'","''")&amp;"')"&amp;", "&amp;"(SELECT ID_Usuario FROM Usuario WHERE NomeUsuario = '"&amp;SUBSTITUTE($B7,"'","''")&amp;"')"&amp;", "&amp;"'"&amp;SUBSTITUTE($C7,"'","''")&amp;"'"&amp;", "&amp;IF($D7="","SYSDATETIME()","'"&amp;SUBSTITUTE($D7,"'","''")&amp;"'")&amp;", "&amp;IF($E7="","'Pendente'","'"&amp;SUBSTITUTE($E7,"'","''")&amp;"'")&amp;", "&amp;IF($F7="","NULL","(SELECT ID_Usuario FROM Usuario WHERE NomeUsuario = '"&amp;SUBSTITUTE($F7,"'","''")&amp;"')")&amp;", "&amp;IF($G7="","NULL","'"&amp;SUBSTITUTE($G7,"'","''")&amp;"'")&amp;" WHERE NOT EXISTS (SELECT 1 FROM Comentarios c JOIN Posts p ON p.ID_Post = c.ID_Post JOIN Usuario u ON u.ID_Usuario = c.ID_Autor WHERE p.URL_Post = "&amp;"'"&amp;SUBSTITUTE($A7,"'","''")&amp;"'"&amp;" AND u.NomeUsuario = "&amp;"'"&amp;SUBSTITUTE($B7,"'","''")&amp;"'"&amp;" AND c.Texto = "&amp;"'"&amp;SUBSTITUTE($C7,"'","''")&amp;"'"&amp;");")</f>
        <v/>
      </c>
    </row>
    <row r="8" customFormat="false" ht="15" hidden="false" customHeight="false" outlineLevel="0" collapsed="false">
      <c r="A8" s="26"/>
      <c r="B8" s="26"/>
      <c r="C8" s="26"/>
      <c r="D8" s="28"/>
      <c r="E8" s="26"/>
      <c r="F8" s="26"/>
      <c r="G8" s="28"/>
      <c r="I8" s="25" t="str">
        <f aca="false">IF($A8="","","INSERT INTO Comentarios (ID_Post, ID_Autor, Texto, DataComentario, Status_Moderacao, ID_Moderador, DataModeracao) SELECT "&amp;"(SELECT ID_Post FROM Posts WHERE URL_Post = '"&amp;SUBSTITUTE($A8,"'","''")&amp;"')"&amp;", "&amp;"(SELECT ID_Usuario FROM Usuario WHERE NomeUsuario = '"&amp;SUBSTITUTE($B8,"'","''")&amp;"')"&amp;", "&amp;"'"&amp;SUBSTITUTE($C8,"'","''")&amp;"'"&amp;", "&amp;IF($D8="","SYSDATETIME()","'"&amp;SUBSTITUTE($D8,"'","''")&amp;"'")&amp;", "&amp;IF($E8="","'Pendente'","'"&amp;SUBSTITUTE($E8,"'","''")&amp;"'")&amp;", "&amp;IF($F8="","NULL","(SELECT ID_Usuario FROM Usuario WHERE NomeUsuario = '"&amp;SUBSTITUTE($F8,"'","''")&amp;"')")&amp;", "&amp;IF($G8="","NULL","'"&amp;SUBSTITUTE($G8,"'","''")&amp;"'")&amp;" WHERE NOT EXISTS (SELECT 1 FROM Comentarios c JOIN Posts p ON p.ID_Post = c.ID_Post JOIN Usuario u ON u.ID_Usuario = c.ID_Autor WHERE p.URL_Post = "&amp;"'"&amp;SUBSTITUTE($A8,"'","''")&amp;"'"&amp;" AND u.NomeUsuario = "&amp;"'"&amp;SUBSTITUTE($B8,"'","''")&amp;"'"&amp;" AND c.Texto = "&amp;"'"&amp;SUBSTITUTE($C8,"'","''")&amp;"'"&amp;");")</f>
        <v/>
      </c>
    </row>
    <row r="9" customFormat="false" ht="15" hidden="false" customHeight="false" outlineLevel="0" collapsed="false">
      <c r="A9" s="26"/>
      <c r="B9" s="26"/>
      <c r="C9" s="26"/>
      <c r="D9" s="28"/>
      <c r="E9" s="26"/>
      <c r="F9" s="26"/>
      <c r="G9" s="28"/>
      <c r="I9" s="25" t="str">
        <f aca="false">IF($A9="","","INSERT INTO Comentarios (ID_Post, ID_Autor, Texto, DataComentario, Status_Moderacao, ID_Moderador, DataModeracao) SELECT "&amp;"(SELECT ID_Post FROM Posts WHERE URL_Post = '"&amp;SUBSTITUTE($A9,"'","''")&amp;"')"&amp;", "&amp;"(SELECT ID_Usuario FROM Usuario WHERE NomeUsuario = '"&amp;SUBSTITUTE($B9,"'","''")&amp;"')"&amp;", "&amp;"'"&amp;SUBSTITUTE($C9,"'","''")&amp;"'"&amp;", "&amp;IF($D9="","SYSDATETIME()","'"&amp;SUBSTITUTE($D9,"'","''")&amp;"'")&amp;", "&amp;IF($E9="","'Pendente'","'"&amp;SUBSTITUTE($E9,"'","''")&amp;"'")&amp;", "&amp;IF($F9="","NULL","(SELECT ID_Usuario FROM Usuario WHERE NomeUsuario = '"&amp;SUBSTITUTE($F9,"'","''")&amp;"')")&amp;", "&amp;IF($G9="","NULL","'"&amp;SUBSTITUTE($G9,"'","''")&amp;"'")&amp;" WHERE NOT EXISTS (SELECT 1 FROM Comentarios c JOIN Posts p ON p.ID_Post = c.ID_Post JOIN Usuario u ON u.ID_Usuario = c.ID_Autor WHERE p.URL_Post = "&amp;"'"&amp;SUBSTITUTE($A9,"'","''")&amp;"'"&amp;" AND u.NomeUsuario = "&amp;"'"&amp;SUBSTITUTE($B9,"'","''")&amp;"'"&amp;" AND c.Texto = "&amp;"'"&amp;SUBSTITUTE($C9,"'","''")&amp;"'"&amp;");")</f>
        <v/>
      </c>
    </row>
    <row r="10" customFormat="false" ht="15" hidden="false" customHeight="false" outlineLevel="0" collapsed="false">
      <c r="A10" s="26"/>
      <c r="B10" s="26"/>
      <c r="C10" s="26"/>
      <c r="D10" s="28"/>
      <c r="E10" s="26"/>
      <c r="F10" s="26"/>
      <c r="G10" s="28"/>
      <c r="I10" s="25" t="str">
        <f aca="false">IF($A10="","","INSERT INTO Comentarios (ID_Post, ID_Autor, Texto, DataComentario, Status_Moderacao, ID_Moderador, DataModeracao) SELECT "&amp;"(SELECT ID_Post FROM Posts WHERE URL_Post = '"&amp;SUBSTITUTE($A10,"'","''")&amp;"')"&amp;", "&amp;"(SELECT ID_Usuario FROM Usuario WHERE NomeUsuario = '"&amp;SUBSTITUTE($B10,"'","''")&amp;"')"&amp;", "&amp;"'"&amp;SUBSTITUTE($C10,"'","''")&amp;"'"&amp;", "&amp;IF($D10="","SYSDATETIME()","'"&amp;SUBSTITUTE($D10,"'","''")&amp;"'")&amp;", "&amp;IF($E10="","'Pendente'","'"&amp;SUBSTITUTE($E10,"'","''")&amp;"'")&amp;", "&amp;IF($F10="","NULL","(SELECT ID_Usuario FROM Usuario WHERE NomeUsuario = '"&amp;SUBSTITUTE($F10,"'","''")&amp;"')")&amp;", "&amp;IF($G10="","NULL","'"&amp;SUBSTITUTE($G10,"'","''")&amp;"'")&amp;" WHERE NOT EXISTS (SELECT 1 FROM Comentarios c JOIN Posts p ON p.ID_Post = c.ID_Post JOIN Usuario u ON u.ID_Usuario = c.ID_Autor WHERE p.URL_Post = "&amp;"'"&amp;SUBSTITUTE($A10,"'","''")&amp;"'"&amp;" AND u.NomeUsuario = "&amp;"'"&amp;SUBSTITUTE($B10,"'","''")&amp;"'"&amp;" AND c.Texto = "&amp;"'"&amp;SUBSTITUTE($C10,"'","''")&amp;"'"&amp;");")</f>
        <v/>
      </c>
    </row>
    <row r="11" customFormat="false" ht="15" hidden="false" customHeight="false" outlineLevel="0" collapsed="false">
      <c r="A11" s="26"/>
      <c r="B11" s="26"/>
      <c r="C11" s="26"/>
      <c r="D11" s="28"/>
      <c r="E11" s="26"/>
      <c r="F11" s="26"/>
      <c r="G11" s="28"/>
      <c r="I11" s="25" t="str">
        <f aca="false">IF($A11="","","INSERT INTO Comentarios (ID_Post, ID_Autor, Texto, DataComentario, Status_Moderacao, ID_Moderador, DataModeracao) SELECT "&amp;"(SELECT ID_Post FROM Posts WHERE URL_Post = '"&amp;SUBSTITUTE($A11,"'","''")&amp;"')"&amp;", "&amp;"(SELECT ID_Usuario FROM Usuario WHERE NomeUsuario = '"&amp;SUBSTITUTE($B11,"'","''")&amp;"')"&amp;", "&amp;"'"&amp;SUBSTITUTE($C11,"'","''")&amp;"'"&amp;", "&amp;IF($D11="","SYSDATETIME()","'"&amp;SUBSTITUTE($D11,"'","''")&amp;"'")&amp;", "&amp;IF($E11="","'Pendente'","'"&amp;SUBSTITUTE($E11,"'","''")&amp;"'")&amp;", "&amp;IF($F11="","NULL","(SELECT ID_Usuario FROM Usuario WHERE NomeUsuario = '"&amp;SUBSTITUTE($F11,"'","''")&amp;"')")&amp;", "&amp;IF($G11="","NULL","'"&amp;SUBSTITUTE($G11,"'","''")&amp;"'")&amp;" WHERE NOT EXISTS (SELECT 1 FROM Comentarios c JOIN Posts p ON p.ID_Post = c.ID_Post JOIN Usuario u ON u.ID_Usuario = c.ID_Autor WHERE p.URL_Post = "&amp;"'"&amp;SUBSTITUTE($A11,"'","''")&amp;"'"&amp;" AND u.NomeUsuario = "&amp;"'"&amp;SUBSTITUTE($B11,"'","''")&amp;"'"&amp;" AND c.Texto = "&amp;"'"&amp;SUBSTITUTE($C11,"'","''")&amp;"'"&amp;");")</f>
        <v/>
      </c>
    </row>
    <row r="12" customFormat="false" ht="15" hidden="false" customHeight="false" outlineLevel="0" collapsed="false">
      <c r="A12" s="26"/>
      <c r="B12" s="26"/>
      <c r="C12" s="26"/>
      <c r="D12" s="28"/>
      <c r="E12" s="26"/>
      <c r="F12" s="26"/>
      <c r="G12" s="28"/>
      <c r="I12" s="25" t="str">
        <f aca="false">IF($A12="","","INSERT INTO Comentarios (ID_Post, ID_Autor, Texto, DataComentario, Status_Moderacao, ID_Moderador, DataModeracao) SELECT "&amp;"(SELECT ID_Post FROM Posts WHERE URL_Post = '"&amp;SUBSTITUTE($A12,"'","''")&amp;"')"&amp;", "&amp;"(SELECT ID_Usuario FROM Usuario WHERE NomeUsuario = '"&amp;SUBSTITUTE($B12,"'","''")&amp;"')"&amp;", "&amp;"'"&amp;SUBSTITUTE($C12,"'","''")&amp;"'"&amp;", "&amp;IF($D12="","SYSDATETIME()","'"&amp;SUBSTITUTE($D12,"'","''")&amp;"'")&amp;", "&amp;IF($E12="","'Pendente'","'"&amp;SUBSTITUTE($E12,"'","''")&amp;"'")&amp;", "&amp;IF($F12="","NULL","(SELECT ID_Usuario FROM Usuario WHERE NomeUsuario = '"&amp;SUBSTITUTE($F12,"'","''")&amp;"')")&amp;", "&amp;IF($G12="","NULL","'"&amp;SUBSTITUTE($G12,"'","''")&amp;"'")&amp;" WHERE NOT EXISTS (SELECT 1 FROM Comentarios c JOIN Posts p ON p.ID_Post = c.ID_Post JOIN Usuario u ON u.ID_Usuario = c.ID_Autor WHERE p.URL_Post = "&amp;"'"&amp;SUBSTITUTE($A12,"'","''")&amp;"'"&amp;" AND u.NomeUsuario = "&amp;"'"&amp;SUBSTITUTE($B12,"'","''")&amp;"'"&amp;" AND c.Texto = "&amp;"'"&amp;SUBSTITUTE($C12,"'","''")&amp;"'"&amp;");")</f>
        <v/>
      </c>
    </row>
    <row r="13" customFormat="false" ht="15" hidden="false" customHeight="false" outlineLevel="0" collapsed="false">
      <c r="A13" s="26"/>
      <c r="B13" s="26"/>
      <c r="C13" s="26"/>
      <c r="D13" s="28"/>
      <c r="E13" s="26"/>
      <c r="F13" s="26"/>
      <c r="G13" s="28"/>
      <c r="I13" s="25" t="str">
        <f aca="false">IF($A13="","","INSERT INTO Comentarios (ID_Post, ID_Autor, Texto, DataComentario, Status_Moderacao, ID_Moderador, DataModeracao) SELECT "&amp;"(SELECT ID_Post FROM Posts WHERE URL_Post = '"&amp;SUBSTITUTE($A13,"'","''")&amp;"')"&amp;", "&amp;"(SELECT ID_Usuario FROM Usuario WHERE NomeUsuario = '"&amp;SUBSTITUTE($B13,"'","''")&amp;"')"&amp;", "&amp;"'"&amp;SUBSTITUTE($C13,"'","''")&amp;"'"&amp;", "&amp;IF($D13="","SYSDATETIME()","'"&amp;SUBSTITUTE($D13,"'","''")&amp;"'")&amp;", "&amp;IF($E13="","'Pendente'","'"&amp;SUBSTITUTE($E13,"'","''")&amp;"'")&amp;", "&amp;IF($F13="","NULL","(SELECT ID_Usuario FROM Usuario WHERE NomeUsuario = '"&amp;SUBSTITUTE($F13,"'","''")&amp;"')")&amp;", "&amp;IF($G13="","NULL","'"&amp;SUBSTITUTE($G13,"'","''")&amp;"'")&amp;" WHERE NOT EXISTS (SELECT 1 FROM Comentarios c JOIN Posts p ON p.ID_Post = c.ID_Post JOIN Usuario u ON u.ID_Usuario = c.ID_Autor WHERE p.URL_Post = "&amp;"'"&amp;SUBSTITUTE($A13,"'","''")&amp;"'"&amp;" AND u.NomeUsuario = "&amp;"'"&amp;SUBSTITUTE($B13,"'","''")&amp;"'"&amp;" AND c.Texto = "&amp;"'"&amp;SUBSTITUTE($C13,"'","''")&amp;"'"&amp;");")</f>
        <v/>
      </c>
    </row>
    <row r="14" customFormat="false" ht="15" hidden="false" customHeight="false" outlineLevel="0" collapsed="false">
      <c r="A14" s="26"/>
      <c r="B14" s="26"/>
      <c r="C14" s="26"/>
      <c r="D14" s="28"/>
      <c r="E14" s="26"/>
      <c r="F14" s="26"/>
      <c r="G14" s="28"/>
      <c r="I14" s="25" t="str">
        <f aca="false">IF($A14="","","INSERT INTO Comentarios (ID_Post, ID_Autor, Texto, DataComentario, Status_Moderacao, ID_Moderador, DataModeracao) SELECT "&amp;"(SELECT ID_Post FROM Posts WHERE URL_Post = '"&amp;SUBSTITUTE($A14,"'","''")&amp;"')"&amp;", "&amp;"(SELECT ID_Usuario FROM Usuario WHERE NomeUsuario = '"&amp;SUBSTITUTE($B14,"'","''")&amp;"')"&amp;", "&amp;"'"&amp;SUBSTITUTE($C14,"'","''")&amp;"'"&amp;", "&amp;IF($D14="","SYSDATETIME()","'"&amp;SUBSTITUTE($D14,"'","''")&amp;"'")&amp;", "&amp;IF($E14="","'Pendente'","'"&amp;SUBSTITUTE($E14,"'","''")&amp;"'")&amp;", "&amp;IF($F14="","NULL","(SELECT ID_Usuario FROM Usuario WHERE NomeUsuario = '"&amp;SUBSTITUTE($F14,"'","''")&amp;"')")&amp;", "&amp;IF($G14="","NULL","'"&amp;SUBSTITUTE($G14,"'","''")&amp;"'")&amp;" WHERE NOT EXISTS (SELECT 1 FROM Comentarios c JOIN Posts p ON p.ID_Post = c.ID_Post JOIN Usuario u ON u.ID_Usuario = c.ID_Autor WHERE p.URL_Post = "&amp;"'"&amp;SUBSTITUTE($A14,"'","''")&amp;"'"&amp;" AND u.NomeUsuario = "&amp;"'"&amp;SUBSTITUTE($B14,"'","''")&amp;"'"&amp;" AND c.Texto = "&amp;"'"&amp;SUBSTITUTE($C14,"'","''")&amp;"'"&amp;");")</f>
        <v/>
      </c>
    </row>
    <row r="15" customFormat="false" ht="15" hidden="false" customHeight="false" outlineLevel="0" collapsed="false">
      <c r="A15" s="26"/>
      <c r="B15" s="26"/>
      <c r="C15" s="26"/>
      <c r="D15" s="28"/>
      <c r="E15" s="26"/>
      <c r="F15" s="26"/>
      <c r="G15" s="28"/>
      <c r="I15" s="25" t="str">
        <f aca="false">IF($A15="","","INSERT INTO Comentarios (ID_Post, ID_Autor, Texto, DataComentario, Status_Moderacao, ID_Moderador, DataModeracao) SELECT "&amp;"(SELECT ID_Post FROM Posts WHERE URL_Post = '"&amp;SUBSTITUTE($A15,"'","''")&amp;"')"&amp;", "&amp;"(SELECT ID_Usuario FROM Usuario WHERE NomeUsuario = '"&amp;SUBSTITUTE($B15,"'","''")&amp;"')"&amp;", "&amp;"'"&amp;SUBSTITUTE($C15,"'","''")&amp;"'"&amp;", "&amp;IF($D15="","SYSDATETIME()","'"&amp;SUBSTITUTE($D15,"'","''")&amp;"'")&amp;", "&amp;IF($E15="","'Pendente'","'"&amp;SUBSTITUTE($E15,"'","''")&amp;"'")&amp;", "&amp;IF($F15="","NULL","(SELECT ID_Usuario FROM Usuario WHERE NomeUsuario = '"&amp;SUBSTITUTE($F15,"'","''")&amp;"')")&amp;", "&amp;IF($G15="","NULL","'"&amp;SUBSTITUTE($G15,"'","''")&amp;"'")&amp;" WHERE NOT EXISTS (SELECT 1 FROM Comentarios c JOIN Posts p ON p.ID_Post = c.ID_Post JOIN Usuario u ON u.ID_Usuario = c.ID_Autor WHERE p.URL_Post = "&amp;"'"&amp;SUBSTITUTE($A15,"'","''")&amp;"'"&amp;" AND u.NomeUsuario = "&amp;"'"&amp;SUBSTITUTE($B15,"'","''")&amp;"'"&amp;" AND c.Texto = "&amp;"'"&amp;SUBSTITUTE($C15,"'","''")&amp;"'"&amp;");")</f>
        <v/>
      </c>
    </row>
    <row r="16" customFormat="false" ht="15" hidden="false" customHeight="false" outlineLevel="0" collapsed="false">
      <c r="A16" s="26"/>
      <c r="B16" s="26"/>
      <c r="C16" s="26"/>
      <c r="D16" s="28"/>
      <c r="E16" s="26"/>
      <c r="F16" s="26"/>
      <c r="G16" s="28"/>
      <c r="I16" s="25" t="str">
        <f aca="false">IF($A16="","","INSERT INTO Comentarios (ID_Post, ID_Autor, Texto, DataComentario, Status_Moderacao, ID_Moderador, DataModeracao) SELECT "&amp;"(SELECT ID_Post FROM Posts WHERE URL_Post = '"&amp;SUBSTITUTE($A16,"'","''")&amp;"')"&amp;", "&amp;"(SELECT ID_Usuario FROM Usuario WHERE NomeUsuario = '"&amp;SUBSTITUTE($B16,"'","''")&amp;"')"&amp;", "&amp;"'"&amp;SUBSTITUTE($C16,"'","''")&amp;"'"&amp;", "&amp;IF($D16="","SYSDATETIME()","'"&amp;SUBSTITUTE($D16,"'","''")&amp;"'")&amp;", "&amp;IF($E16="","'Pendente'","'"&amp;SUBSTITUTE($E16,"'","''")&amp;"'")&amp;", "&amp;IF($F16="","NULL","(SELECT ID_Usuario FROM Usuario WHERE NomeUsuario = '"&amp;SUBSTITUTE($F16,"'","''")&amp;"')")&amp;", "&amp;IF($G16="","NULL","'"&amp;SUBSTITUTE($G16,"'","''")&amp;"'")&amp;" WHERE NOT EXISTS (SELECT 1 FROM Comentarios c JOIN Posts p ON p.ID_Post = c.ID_Post JOIN Usuario u ON u.ID_Usuario = c.ID_Autor WHERE p.URL_Post = "&amp;"'"&amp;SUBSTITUTE($A16,"'","''")&amp;"'"&amp;" AND u.NomeUsuario = "&amp;"'"&amp;SUBSTITUTE($B16,"'","''")&amp;"'"&amp;" AND c.Texto = "&amp;"'"&amp;SUBSTITUTE($C16,"'","''")&amp;"'"&amp;");")</f>
        <v/>
      </c>
    </row>
    <row r="17" customFormat="false" ht="15" hidden="false" customHeight="false" outlineLevel="0" collapsed="false">
      <c r="A17" s="26"/>
      <c r="B17" s="26"/>
      <c r="C17" s="26"/>
      <c r="D17" s="28"/>
      <c r="E17" s="26"/>
      <c r="F17" s="26"/>
      <c r="G17" s="28"/>
      <c r="I17" s="25" t="str">
        <f aca="false">IF($A17="","","INSERT INTO Comentarios (ID_Post, ID_Autor, Texto, DataComentario, Status_Moderacao, ID_Moderador, DataModeracao) SELECT "&amp;"(SELECT ID_Post FROM Posts WHERE URL_Post = '"&amp;SUBSTITUTE($A17,"'","''")&amp;"')"&amp;", "&amp;"(SELECT ID_Usuario FROM Usuario WHERE NomeUsuario = '"&amp;SUBSTITUTE($B17,"'","''")&amp;"')"&amp;", "&amp;"'"&amp;SUBSTITUTE($C17,"'","''")&amp;"'"&amp;", "&amp;IF($D17="","SYSDATETIME()","'"&amp;SUBSTITUTE($D17,"'","''")&amp;"'")&amp;", "&amp;IF($E17="","'Pendente'","'"&amp;SUBSTITUTE($E17,"'","''")&amp;"'")&amp;", "&amp;IF($F17="","NULL","(SELECT ID_Usuario FROM Usuario WHERE NomeUsuario = '"&amp;SUBSTITUTE($F17,"'","''")&amp;"')")&amp;", "&amp;IF($G17="","NULL","'"&amp;SUBSTITUTE($G17,"'","''")&amp;"'")&amp;" WHERE NOT EXISTS (SELECT 1 FROM Comentarios c JOIN Posts p ON p.ID_Post = c.ID_Post JOIN Usuario u ON u.ID_Usuario = c.ID_Autor WHERE p.URL_Post = "&amp;"'"&amp;SUBSTITUTE($A17,"'","''")&amp;"'"&amp;" AND u.NomeUsuario = "&amp;"'"&amp;SUBSTITUTE($B17,"'","''")&amp;"'"&amp;" AND c.Texto = "&amp;"'"&amp;SUBSTITUTE($C17,"'","''")&amp;"'"&amp;");")</f>
        <v/>
      </c>
    </row>
    <row r="18" customFormat="false" ht="15" hidden="false" customHeight="false" outlineLevel="0" collapsed="false">
      <c r="A18" s="26"/>
      <c r="B18" s="26"/>
      <c r="C18" s="26"/>
      <c r="D18" s="28"/>
      <c r="E18" s="26"/>
      <c r="F18" s="26"/>
      <c r="G18" s="28"/>
      <c r="I18" s="25" t="str">
        <f aca="false">IF($A18="","","INSERT INTO Comentarios (ID_Post, ID_Autor, Texto, DataComentario, Status_Moderacao, ID_Moderador, DataModeracao) SELECT "&amp;"(SELECT ID_Post FROM Posts WHERE URL_Post = '"&amp;SUBSTITUTE($A18,"'","''")&amp;"')"&amp;", "&amp;"(SELECT ID_Usuario FROM Usuario WHERE NomeUsuario = '"&amp;SUBSTITUTE($B18,"'","''")&amp;"')"&amp;", "&amp;"'"&amp;SUBSTITUTE($C18,"'","''")&amp;"'"&amp;", "&amp;IF($D18="","SYSDATETIME()","'"&amp;SUBSTITUTE($D18,"'","''")&amp;"'")&amp;", "&amp;IF($E18="","'Pendente'","'"&amp;SUBSTITUTE($E18,"'","''")&amp;"'")&amp;", "&amp;IF($F18="","NULL","(SELECT ID_Usuario FROM Usuario WHERE NomeUsuario = '"&amp;SUBSTITUTE($F18,"'","''")&amp;"')")&amp;", "&amp;IF($G18="","NULL","'"&amp;SUBSTITUTE($G18,"'","''")&amp;"'")&amp;" WHERE NOT EXISTS (SELECT 1 FROM Comentarios c JOIN Posts p ON p.ID_Post = c.ID_Post JOIN Usuario u ON u.ID_Usuario = c.ID_Autor WHERE p.URL_Post = "&amp;"'"&amp;SUBSTITUTE($A18,"'","''")&amp;"'"&amp;" AND u.NomeUsuario = "&amp;"'"&amp;SUBSTITUTE($B18,"'","''")&amp;"'"&amp;" AND c.Texto = "&amp;"'"&amp;SUBSTITUTE($C18,"'","''")&amp;"'"&amp;");")</f>
        <v/>
      </c>
    </row>
    <row r="19" customFormat="false" ht="15" hidden="false" customHeight="false" outlineLevel="0" collapsed="false">
      <c r="A19" s="26"/>
      <c r="B19" s="26"/>
      <c r="C19" s="26"/>
      <c r="D19" s="28"/>
      <c r="E19" s="26"/>
      <c r="F19" s="26"/>
      <c r="G19" s="28"/>
      <c r="I19" s="25" t="str">
        <f aca="false">IF($A19="","","INSERT INTO Comentarios (ID_Post, ID_Autor, Texto, DataComentario, Status_Moderacao, ID_Moderador, DataModeracao) SELECT "&amp;"(SELECT ID_Post FROM Posts WHERE URL_Post = '"&amp;SUBSTITUTE($A19,"'","''")&amp;"')"&amp;", "&amp;"(SELECT ID_Usuario FROM Usuario WHERE NomeUsuario = '"&amp;SUBSTITUTE($B19,"'","''")&amp;"')"&amp;", "&amp;"'"&amp;SUBSTITUTE($C19,"'","''")&amp;"'"&amp;", "&amp;IF($D19="","SYSDATETIME()","'"&amp;SUBSTITUTE($D19,"'","''")&amp;"'")&amp;", "&amp;IF($E19="","'Pendente'","'"&amp;SUBSTITUTE($E19,"'","''")&amp;"'")&amp;", "&amp;IF($F19="","NULL","(SELECT ID_Usuario FROM Usuario WHERE NomeUsuario = '"&amp;SUBSTITUTE($F19,"'","''")&amp;"')")&amp;", "&amp;IF($G19="","NULL","'"&amp;SUBSTITUTE($G19,"'","''")&amp;"'")&amp;" WHERE NOT EXISTS (SELECT 1 FROM Comentarios c JOIN Posts p ON p.ID_Post = c.ID_Post JOIN Usuario u ON u.ID_Usuario = c.ID_Autor WHERE p.URL_Post = "&amp;"'"&amp;SUBSTITUTE($A19,"'","''")&amp;"'"&amp;" AND u.NomeUsuario = "&amp;"'"&amp;SUBSTITUTE($B19,"'","''")&amp;"'"&amp;" AND c.Texto = "&amp;"'"&amp;SUBSTITUTE($C19,"'","''")&amp;"'"&amp;");")</f>
        <v/>
      </c>
    </row>
    <row r="20" customFormat="false" ht="15" hidden="false" customHeight="false" outlineLevel="0" collapsed="false">
      <c r="A20" s="26"/>
      <c r="B20" s="26"/>
      <c r="C20" s="26"/>
      <c r="D20" s="28"/>
      <c r="E20" s="26"/>
      <c r="F20" s="26"/>
      <c r="G20" s="28"/>
      <c r="I20" s="25" t="str">
        <f aca="false">IF($A20="","","INSERT INTO Comentarios (ID_Post, ID_Autor, Texto, DataComentario, Status_Moderacao, ID_Moderador, DataModeracao) SELECT "&amp;"(SELECT ID_Post FROM Posts WHERE URL_Post = '"&amp;SUBSTITUTE($A20,"'","''")&amp;"')"&amp;", "&amp;"(SELECT ID_Usuario FROM Usuario WHERE NomeUsuario = '"&amp;SUBSTITUTE($B20,"'","''")&amp;"')"&amp;", "&amp;"'"&amp;SUBSTITUTE($C20,"'","''")&amp;"'"&amp;", "&amp;IF($D20="","SYSDATETIME()","'"&amp;SUBSTITUTE($D20,"'","''")&amp;"'")&amp;", "&amp;IF($E20="","'Pendente'","'"&amp;SUBSTITUTE($E20,"'","''")&amp;"'")&amp;", "&amp;IF($F20="","NULL","(SELECT ID_Usuario FROM Usuario WHERE NomeUsuario = '"&amp;SUBSTITUTE($F20,"'","''")&amp;"')")&amp;", "&amp;IF($G20="","NULL","'"&amp;SUBSTITUTE($G20,"'","''")&amp;"'")&amp;" WHERE NOT EXISTS (SELECT 1 FROM Comentarios c JOIN Posts p ON p.ID_Post = c.ID_Post JOIN Usuario u ON u.ID_Usuario = c.ID_Autor WHERE p.URL_Post = "&amp;"'"&amp;SUBSTITUTE($A20,"'","''")&amp;"'"&amp;" AND u.NomeUsuario = "&amp;"'"&amp;SUBSTITUTE($B20,"'","''")&amp;"'"&amp;" AND c.Texto = "&amp;"'"&amp;SUBSTITUTE($C20,"'","''")&amp;"'"&amp;");")</f>
        <v/>
      </c>
    </row>
    <row r="21" customFormat="false" ht="15" hidden="false" customHeight="false" outlineLevel="0" collapsed="false">
      <c r="A21" s="26"/>
      <c r="B21" s="26"/>
      <c r="C21" s="26"/>
      <c r="D21" s="28"/>
      <c r="E21" s="26"/>
      <c r="F21" s="26"/>
      <c r="G21" s="28"/>
      <c r="I21" s="25" t="str">
        <f aca="false">IF($A21="","","INSERT INTO Comentarios (ID_Post, ID_Autor, Texto, DataComentario, Status_Moderacao, ID_Moderador, DataModeracao) SELECT "&amp;"(SELECT ID_Post FROM Posts WHERE URL_Post = '"&amp;SUBSTITUTE($A21,"'","''")&amp;"')"&amp;", "&amp;"(SELECT ID_Usuario FROM Usuario WHERE NomeUsuario = '"&amp;SUBSTITUTE($B21,"'","''")&amp;"')"&amp;", "&amp;"'"&amp;SUBSTITUTE($C21,"'","''")&amp;"'"&amp;", "&amp;IF($D21="","SYSDATETIME()","'"&amp;SUBSTITUTE($D21,"'","''")&amp;"'")&amp;", "&amp;IF($E21="","'Pendente'","'"&amp;SUBSTITUTE($E21,"'","''")&amp;"'")&amp;", "&amp;IF($F21="","NULL","(SELECT ID_Usuario FROM Usuario WHERE NomeUsuario = '"&amp;SUBSTITUTE($F21,"'","''")&amp;"')")&amp;", "&amp;IF($G21="","NULL","'"&amp;SUBSTITUTE($G21,"'","''")&amp;"'")&amp;" WHERE NOT EXISTS (SELECT 1 FROM Comentarios c JOIN Posts p ON p.ID_Post = c.ID_Post JOIN Usuario u ON u.ID_Usuario = c.ID_Autor WHERE p.URL_Post = "&amp;"'"&amp;SUBSTITUTE($A21,"'","''")&amp;"'"&amp;" AND u.NomeUsuario = "&amp;"'"&amp;SUBSTITUTE($B21,"'","''")&amp;"'"&amp;" AND c.Texto = "&amp;"'"&amp;SUBSTITUTE($C21,"'","''")&amp;"'"&amp;");")</f>
        <v/>
      </c>
    </row>
    <row r="22" customFormat="false" ht="15" hidden="false" customHeight="false" outlineLevel="0" collapsed="false">
      <c r="A22" s="26"/>
      <c r="B22" s="26"/>
      <c r="C22" s="26"/>
      <c r="D22" s="28"/>
      <c r="E22" s="26"/>
      <c r="F22" s="26"/>
      <c r="G22" s="28"/>
      <c r="I22" s="25" t="str">
        <f aca="false">IF($A22="","","INSERT INTO Comentarios (ID_Post, ID_Autor, Texto, DataComentario, Status_Moderacao, ID_Moderador, DataModeracao) SELECT "&amp;"(SELECT ID_Post FROM Posts WHERE URL_Post = '"&amp;SUBSTITUTE($A22,"'","''")&amp;"')"&amp;", "&amp;"(SELECT ID_Usuario FROM Usuario WHERE NomeUsuario = '"&amp;SUBSTITUTE($B22,"'","''")&amp;"')"&amp;", "&amp;"'"&amp;SUBSTITUTE($C22,"'","''")&amp;"'"&amp;", "&amp;IF($D22="","SYSDATETIME()","'"&amp;SUBSTITUTE($D22,"'","''")&amp;"'")&amp;", "&amp;IF($E22="","'Pendente'","'"&amp;SUBSTITUTE($E22,"'","''")&amp;"'")&amp;", "&amp;IF($F22="","NULL","(SELECT ID_Usuario FROM Usuario WHERE NomeUsuario = '"&amp;SUBSTITUTE($F22,"'","''")&amp;"')")&amp;", "&amp;IF($G22="","NULL","'"&amp;SUBSTITUTE($G22,"'","''")&amp;"'")&amp;" WHERE NOT EXISTS (SELECT 1 FROM Comentarios c JOIN Posts p ON p.ID_Post = c.ID_Post JOIN Usuario u ON u.ID_Usuario = c.ID_Autor WHERE p.URL_Post = "&amp;"'"&amp;SUBSTITUTE($A22,"'","''")&amp;"'"&amp;" AND u.NomeUsuario = "&amp;"'"&amp;SUBSTITUTE($B22,"'","''")&amp;"'"&amp;" AND c.Texto = "&amp;"'"&amp;SUBSTITUTE($C22,"'","''")&amp;"'"&amp;");")</f>
        <v/>
      </c>
    </row>
    <row r="23" customFormat="false" ht="15" hidden="false" customHeight="false" outlineLevel="0" collapsed="false">
      <c r="A23" s="26"/>
      <c r="B23" s="26"/>
      <c r="C23" s="26"/>
      <c r="D23" s="28"/>
      <c r="E23" s="26"/>
      <c r="F23" s="26"/>
      <c r="G23" s="28"/>
      <c r="I23" s="25" t="str">
        <f aca="false">IF($A23="","","INSERT INTO Comentarios (ID_Post, ID_Autor, Texto, DataComentario, Status_Moderacao, ID_Moderador, DataModeracao) SELECT "&amp;"(SELECT ID_Post FROM Posts WHERE URL_Post = '"&amp;SUBSTITUTE($A23,"'","''")&amp;"')"&amp;", "&amp;"(SELECT ID_Usuario FROM Usuario WHERE NomeUsuario = '"&amp;SUBSTITUTE($B23,"'","''")&amp;"')"&amp;", "&amp;"'"&amp;SUBSTITUTE($C23,"'","''")&amp;"'"&amp;", "&amp;IF($D23="","SYSDATETIME()","'"&amp;SUBSTITUTE($D23,"'","''")&amp;"'")&amp;", "&amp;IF($E23="","'Pendente'","'"&amp;SUBSTITUTE($E23,"'","''")&amp;"'")&amp;", "&amp;IF($F23="","NULL","(SELECT ID_Usuario FROM Usuario WHERE NomeUsuario = '"&amp;SUBSTITUTE($F23,"'","''")&amp;"')")&amp;", "&amp;IF($G23="","NULL","'"&amp;SUBSTITUTE($G23,"'","''")&amp;"'")&amp;" WHERE NOT EXISTS (SELECT 1 FROM Comentarios c JOIN Posts p ON p.ID_Post = c.ID_Post JOIN Usuario u ON u.ID_Usuario = c.ID_Autor WHERE p.URL_Post = "&amp;"'"&amp;SUBSTITUTE($A23,"'","''")&amp;"'"&amp;" AND u.NomeUsuario = "&amp;"'"&amp;SUBSTITUTE($B23,"'","''")&amp;"'"&amp;" AND c.Texto = "&amp;"'"&amp;SUBSTITUTE($C23,"'","''")&amp;"'"&amp;");")</f>
        <v/>
      </c>
    </row>
    <row r="24" customFormat="false" ht="15" hidden="false" customHeight="false" outlineLevel="0" collapsed="false">
      <c r="A24" s="26"/>
      <c r="B24" s="26"/>
      <c r="C24" s="26"/>
      <c r="D24" s="28"/>
      <c r="E24" s="26"/>
      <c r="F24" s="26"/>
      <c r="G24" s="28"/>
      <c r="I24" s="25" t="str">
        <f aca="false">IF($A24="","","INSERT INTO Comentarios (ID_Post, ID_Autor, Texto, DataComentario, Status_Moderacao, ID_Moderador, DataModeracao) SELECT "&amp;"(SELECT ID_Post FROM Posts WHERE URL_Post = '"&amp;SUBSTITUTE($A24,"'","''")&amp;"')"&amp;", "&amp;"(SELECT ID_Usuario FROM Usuario WHERE NomeUsuario = '"&amp;SUBSTITUTE($B24,"'","''")&amp;"')"&amp;", "&amp;"'"&amp;SUBSTITUTE($C24,"'","''")&amp;"'"&amp;", "&amp;IF($D24="","SYSDATETIME()","'"&amp;SUBSTITUTE($D24,"'","''")&amp;"'")&amp;", "&amp;IF($E24="","'Pendente'","'"&amp;SUBSTITUTE($E24,"'","''")&amp;"'")&amp;", "&amp;IF($F24="","NULL","(SELECT ID_Usuario FROM Usuario WHERE NomeUsuario = '"&amp;SUBSTITUTE($F24,"'","''")&amp;"')")&amp;", "&amp;IF($G24="","NULL","'"&amp;SUBSTITUTE($G24,"'","''")&amp;"'")&amp;" WHERE NOT EXISTS (SELECT 1 FROM Comentarios c JOIN Posts p ON p.ID_Post = c.ID_Post JOIN Usuario u ON u.ID_Usuario = c.ID_Autor WHERE p.URL_Post = "&amp;"'"&amp;SUBSTITUTE($A24,"'","''")&amp;"'"&amp;" AND u.NomeUsuario = "&amp;"'"&amp;SUBSTITUTE($B24,"'","''")&amp;"'"&amp;" AND c.Texto = "&amp;"'"&amp;SUBSTITUTE($C24,"'","''")&amp;"'"&amp;");")</f>
        <v/>
      </c>
    </row>
    <row r="25" customFormat="false" ht="15" hidden="false" customHeight="false" outlineLevel="0" collapsed="false">
      <c r="A25" s="26"/>
      <c r="B25" s="26"/>
      <c r="C25" s="26"/>
      <c r="D25" s="28"/>
      <c r="E25" s="26"/>
      <c r="F25" s="26"/>
      <c r="G25" s="28"/>
      <c r="I25" s="25" t="str">
        <f aca="false">IF($A25="","","INSERT INTO Comentarios (ID_Post, ID_Autor, Texto, DataComentario, Status_Moderacao, ID_Moderador, DataModeracao) SELECT "&amp;"(SELECT ID_Post FROM Posts WHERE URL_Post = '"&amp;SUBSTITUTE($A25,"'","''")&amp;"')"&amp;", "&amp;"(SELECT ID_Usuario FROM Usuario WHERE NomeUsuario = '"&amp;SUBSTITUTE($B25,"'","''")&amp;"')"&amp;", "&amp;"'"&amp;SUBSTITUTE($C25,"'","''")&amp;"'"&amp;", "&amp;IF($D25="","SYSDATETIME()","'"&amp;SUBSTITUTE($D25,"'","''")&amp;"'")&amp;", "&amp;IF($E25="","'Pendente'","'"&amp;SUBSTITUTE($E25,"'","''")&amp;"'")&amp;", "&amp;IF($F25="","NULL","(SELECT ID_Usuario FROM Usuario WHERE NomeUsuario = '"&amp;SUBSTITUTE($F25,"'","''")&amp;"')")&amp;", "&amp;IF($G25="","NULL","'"&amp;SUBSTITUTE($G25,"'","''")&amp;"'")&amp;" WHERE NOT EXISTS (SELECT 1 FROM Comentarios c JOIN Posts p ON p.ID_Post = c.ID_Post JOIN Usuario u ON u.ID_Usuario = c.ID_Autor WHERE p.URL_Post = "&amp;"'"&amp;SUBSTITUTE($A25,"'","''")&amp;"'"&amp;" AND u.NomeUsuario = "&amp;"'"&amp;SUBSTITUTE($B25,"'","''")&amp;"'"&amp;" AND c.Texto = "&amp;"'"&amp;SUBSTITUTE($C25,"'","''")&amp;"'"&amp;");")</f>
        <v/>
      </c>
    </row>
    <row r="26" customFormat="false" ht="15" hidden="false" customHeight="false" outlineLevel="0" collapsed="false">
      <c r="A26" s="26"/>
      <c r="B26" s="26"/>
      <c r="C26" s="26"/>
      <c r="D26" s="28"/>
      <c r="E26" s="26"/>
      <c r="F26" s="26"/>
      <c r="G26" s="28"/>
      <c r="I26" s="25" t="str">
        <f aca="false">IF($A26="","","INSERT INTO Comentarios (ID_Post, ID_Autor, Texto, DataComentario, Status_Moderacao, ID_Moderador, DataModeracao) SELECT "&amp;"(SELECT ID_Post FROM Posts WHERE URL_Post = '"&amp;SUBSTITUTE($A26,"'","''")&amp;"')"&amp;", "&amp;"(SELECT ID_Usuario FROM Usuario WHERE NomeUsuario = '"&amp;SUBSTITUTE($B26,"'","''")&amp;"')"&amp;", "&amp;"'"&amp;SUBSTITUTE($C26,"'","''")&amp;"'"&amp;", "&amp;IF($D26="","SYSDATETIME()","'"&amp;SUBSTITUTE($D26,"'","''")&amp;"'")&amp;", "&amp;IF($E26="","'Pendente'","'"&amp;SUBSTITUTE($E26,"'","''")&amp;"'")&amp;", "&amp;IF($F26="","NULL","(SELECT ID_Usuario FROM Usuario WHERE NomeUsuario = '"&amp;SUBSTITUTE($F26,"'","''")&amp;"')")&amp;", "&amp;IF($G26="","NULL","'"&amp;SUBSTITUTE($G26,"'","''")&amp;"'")&amp;" WHERE NOT EXISTS (SELECT 1 FROM Comentarios c JOIN Posts p ON p.ID_Post = c.ID_Post JOIN Usuario u ON u.ID_Usuario = c.ID_Autor WHERE p.URL_Post = "&amp;"'"&amp;SUBSTITUTE($A26,"'","''")&amp;"'"&amp;" AND u.NomeUsuario = "&amp;"'"&amp;SUBSTITUTE($B26,"'","''")&amp;"'"&amp;" AND c.Texto = "&amp;"'"&amp;SUBSTITUTE($C26,"'","''")&amp;"'"&amp;");")</f>
        <v/>
      </c>
    </row>
    <row r="27" customFormat="false" ht="15" hidden="false" customHeight="false" outlineLevel="0" collapsed="false">
      <c r="A27" s="26"/>
      <c r="B27" s="26"/>
      <c r="C27" s="26"/>
      <c r="D27" s="28"/>
      <c r="E27" s="26"/>
      <c r="F27" s="26"/>
      <c r="G27" s="28"/>
      <c r="I27" s="25" t="str">
        <f aca="false">IF($A27="","","INSERT INTO Comentarios (ID_Post, ID_Autor, Texto, DataComentario, Status_Moderacao, ID_Moderador, DataModeracao) SELECT "&amp;"(SELECT ID_Post FROM Posts WHERE URL_Post = '"&amp;SUBSTITUTE($A27,"'","''")&amp;"')"&amp;", "&amp;"(SELECT ID_Usuario FROM Usuario WHERE NomeUsuario = '"&amp;SUBSTITUTE($B27,"'","''")&amp;"')"&amp;", "&amp;"'"&amp;SUBSTITUTE($C27,"'","''")&amp;"'"&amp;", "&amp;IF($D27="","SYSDATETIME()","'"&amp;SUBSTITUTE($D27,"'","''")&amp;"'")&amp;", "&amp;IF($E27="","'Pendente'","'"&amp;SUBSTITUTE($E27,"'","''")&amp;"'")&amp;", "&amp;IF($F27="","NULL","(SELECT ID_Usuario FROM Usuario WHERE NomeUsuario = '"&amp;SUBSTITUTE($F27,"'","''")&amp;"')")&amp;", "&amp;IF($G27="","NULL","'"&amp;SUBSTITUTE($G27,"'","''")&amp;"'")&amp;" WHERE NOT EXISTS (SELECT 1 FROM Comentarios c JOIN Posts p ON p.ID_Post = c.ID_Post JOIN Usuario u ON u.ID_Usuario = c.ID_Autor WHERE p.URL_Post = "&amp;"'"&amp;SUBSTITUTE($A27,"'","''")&amp;"'"&amp;" AND u.NomeUsuario = "&amp;"'"&amp;SUBSTITUTE($B27,"'","''")&amp;"'"&amp;" AND c.Texto = "&amp;"'"&amp;SUBSTITUTE($C27,"'","''")&amp;"'"&amp;");")</f>
        <v/>
      </c>
    </row>
    <row r="28" customFormat="false" ht="15" hidden="false" customHeight="false" outlineLevel="0" collapsed="false">
      <c r="A28" s="26"/>
      <c r="B28" s="26"/>
      <c r="C28" s="26"/>
      <c r="D28" s="28"/>
      <c r="E28" s="26"/>
      <c r="F28" s="26"/>
      <c r="G28" s="28"/>
      <c r="I28" s="25" t="str">
        <f aca="false">IF($A28="","","INSERT INTO Comentarios (ID_Post, ID_Autor, Texto, DataComentario, Status_Moderacao, ID_Moderador, DataModeracao) SELECT "&amp;"(SELECT ID_Post FROM Posts WHERE URL_Post = '"&amp;SUBSTITUTE($A28,"'","''")&amp;"')"&amp;", "&amp;"(SELECT ID_Usuario FROM Usuario WHERE NomeUsuario = '"&amp;SUBSTITUTE($B28,"'","''")&amp;"')"&amp;", "&amp;"'"&amp;SUBSTITUTE($C28,"'","''")&amp;"'"&amp;", "&amp;IF($D28="","SYSDATETIME()","'"&amp;SUBSTITUTE($D28,"'","''")&amp;"'")&amp;", "&amp;IF($E28="","'Pendente'","'"&amp;SUBSTITUTE($E28,"'","''")&amp;"'")&amp;", "&amp;IF($F28="","NULL","(SELECT ID_Usuario FROM Usuario WHERE NomeUsuario = '"&amp;SUBSTITUTE($F28,"'","''")&amp;"')")&amp;", "&amp;IF($G28="","NULL","'"&amp;SUBSTITUTE($G28,"'","''")&amp;"'")&amp;" WHERE NOT EXISTS (SELECT 1 FROM Comentarios c JOIN Posts p ON p.ID_Post = c.ID_Post JOIN Usuario u ON u.ID_Usuario = c.ID_Autor WHERE p.URL_Post = "&amp;"'"&amp;SUBSTITUTE($A28,"'","''")&amp;"'"&amp;" AND u.NomeUsuario = "&amp;"'"&amp;SUBSTITUTE($B28,"'","''")&amp;"'"&amp;" AND c.Texto = "&amp;"'"&amp;SUBSTITUTE($C28,"'","''")&amp;"'"&amp;");")</f>
        <v/>
      </c>
    </row>
    <row r="29" customFormat="false" ht="15" hidden="false" customHeight="false" outlineLevel="0" collapsed="false">
      <c r="A29" s="26"/>
      <c r="B29" s="26"/>
      <c r="C29" s="26"/>
      <c r="D29" s="28"/>
      <c r="E29" s="26"/>
      <c r="F29" s="26"/>
      <c r="G29" s="28"/>
      <c r="I29" s="25" t="str">
        <f aca="false">IF($A29="","","INSERT INTO Comentarios (ID_Post, ID_Autor, Texto, DataComentario, Status_Moderacao, ID_Moderador, DataModeracao) SELECT "&amp;"(SELECT ID_Post FROM Posts WHERE URL_Post = '"&amp;SUBSTITUTE($A29,"'","''")&amp;"')"&amp;", "&amp;"(SELECT ID_Usuario FROM Usuario WHERE NomeUsuario = '"&amp;SUBSTITUTE($B29,"'","''")&amp;"')"&amp;", "&amp;"'"&amp;SUBSTITUTE($C29,"'","''")&amp;"'"&amp;", "&amp;IF($D29="","SYSDATETIME()","'"&amp;SUBSTITUTE($D29,"'","''")&amp;"'")&amp;", "&amp;IF($E29="","'Pendente'","'"&amp;SUBSTITUTE($E29,"'","''")&amp;"'")&amp;", "&amp;IF($F29="","NULL","(SELECT ID_Usuario FROM Usuario WHERE NomeUsuario = '"&amp;SUBSTITUTE($F29,"'","''")&amp;"')")&amp;", "&amp;IF($G29="","NULL","'"&amp;SUBSTITUTE($G29,"'","''")&amp;"'")&amp;" WHERE NOT EXISTS (SELECT 1 FROM Comentarios c JOIN Posts p ON p.ID_Post = c.ID_Post JOIN Usuario u ON u.ID_Usuario = c.ID_Autor WHERE p.URL_Post = "&amp;"'"&amp;SUBSTITUTE($A29,"'","''")&amp;"'"&amp;" AND u.NomeUsuario = "&amp;"'"&amp;SUBSTITUTE($B29,"'","''")&amp;"'"&amp;" AND c.Texto = "&amp;"'"&amp;SUBSTITUTE($C29,"'","''")&amp;"'"&amp;");")</f>
        <v/>
      </c>
    </row>
    <row r="30" customFormat="false" ht="15" hidden="false" customHeight="false" outlineLevel="0" collapsed="false">
      <c r="A30" s="26"/>
      <c r="B30" s="26"/>
      <c r="C30" s="26"/>
      <c r="D30" s="28"/>
      <c r="E30" s="26"/>
      <c r="F30" s="26"/>
      <c r="G30" s="28"/>
      <c r="I30" s="25" t="str">
        <f aca="false">IF($A30="","","INSERT INTO Comentarios (ID_Post, ID_Autor, Texto, DataComentario, Status_Moderacao, ID_Moderador, DataModeracao) SELECT "&amp;"(SELECT ID_Post FROM Posts WHERE URL_Post = '"&amp;SUBSTITUTE($A30,"'","''")&amp;"')"&amp;", "&amp;"(SELECT ID_Usuario FROM Usuario WHERE NomeUsuario = '"&amp;SUBSTITUTE($B30,"'","''")&amp;"')"&amp;", "&amp;"'"&amp;SUBSTITUTE($C30,"'","''")&amp;"'"&amp;", "&amp;IF($D30="","SYSDATETIME()","'"&amp;SUBSTITUTE($D30,"'","''")&amp;"'")&amp;", "&amp;IF($E30="","'Pendente'","'"&amp;SUBSTITUTE($E30,"'","''")&amp;"'")&amp;", "&amp;IF($F30="","NULL","(SELECT ID_Usuario FROM Usuario WHERE NomeUsuario = '"&amp;SUBSTITUTE($F30,"'","''")&amp;"')")&amp;", "&amp;IF($G30="","NULL","'"&amp;SUBSTITUTE($G30,"'","''")&amp;"'")&amp;" WHERE NOT EXISTS (SELECT 1 FROM Comentarios c JOIN Posts p ON p.ID_Post = c.ID_Post JOIN Usuario u ON u.ID_Usuario = c.ID_Autor WHERE p.URL_Post = "&amp;"'"&amp;SUBSTITUTE($A30,"'","''")&amp;"'"&amp;" AND u.NomeUsuario = "&amp;"'"&amp;SUBSTITUTE($B30,"'","''")&amp;"'"&amp;" AND c.Texto = "&amp;"'"&amp;SUBSTITUTE($C30,"'","''")&amp;"'"&amp;");")</f>
        <v/>
      </c>
    </row>
    <row r="31" customFormat="false" ht="15" hidden="false" customHeight="false" outlineLevel="0" collapsed="false">
      <c r="A31" s="26"/>
      <c r="B31" s="26"/>
      <c r="C31" s="26"/>
      <c r="D31" s="28"/>
      <c r="E31" s="26"/>
      <c r="F31" s="26"/>
      <c r="G31" s="28"/>
      <c r="I31" s="25" t="str">
        <f aca="false">IF($A31="","","INSERT INTO Comentarios (ID_Post, ID_Autor, Texto, DataComentario, Status_Moderacao, ID_Moderador, DataModeracao) SELECT "&amp;"(SELECT ID_Post FROM Posts WHERE URL_Post = '"&amp;SUBSTITUTE($A31,"'","''")&amp;"')"&amp;", "&amp;"(SELECT ID_Usuario FROM Usuario WHERE NomeUsuario = '"&amp;SUBSTITUTE($B31,"'","''")&amp;"')"&amp;", "&amp;"'"&amp;SUBSTITUTE($C31,"'","''")&amp;"'"&amp;", "&amp;IF($D31="","SYSDATETIME()","'"&amp;SUBSTITUTE($D31,"'","''")&amp;"'")&amp;", "&amp;IF($E31="","'Pendente'","'"&amp;SUBSTITUTE($E31,"'","''")&amp;"'")&amp;", "&amp;IF($F31="","NULL","(SELECT ID_Usuario FROM Usuario WHERE NomeUsuario = '"&amp;SUBSTITUTE($F31,"'","''")&amp;"')")&amp;", "&amp;IF($G31="","NULL","'"&amp;SUBSTITUTE($G31,"'","''")&amp;"'")&amp;" WHERE NOT EXISTS (SELECT 1 FROM Comentarios c JOIN Posts p ON p.ID_Post = c.ID_Post JOIN Usuario u ON u.ID_Usuario = c.ID_Autor WHERE p.URL_Post = "&amp;"'"&amp;SUBSTITUTE($A31,"'","''")&amp;"'"&amp;" AND u.NomeUsuario = "&amp;"'"&amp;SUBSTITUTE($B31,"'","''")&amp;"'"&amp;" AND c.Texto = "&amp;"'"&amp;SUBSTITUTE($C31,"'","''")&amp;"'"&amp;");")</f>
        <v/>
      </c>
    </row>
    <row r="32" customFormat="false" ht="15" hidden="false" customHeight="false" outlineLevel="0" collapsed="false">
      <c r="A32" s="26"/>
      <c r="B32" s="26"/>
      <c r="C32" s="26"/>
      <c r="D32" s="28"/>
      <c r="E32" s="26"/>
      <c r="F32" s="26"/>
      <c r="G32" s="28"/>
      <c r="I32" s="25" t="str">
        <f aca="false">IF($A32="","","INSERT INTO Comentarios (ID_Post, ID_Autor, Texto, DataComentario, Status_Moderacao, ID_Moderador, DataModeracao) SELECT "&amp;"(SELECT ID_Post FROM Posts WHERE URL_Post = '"&amp;SUBSTITUTE($A32,"'","''")&amp;"')"&amp;", "&amp;"(SELECT ID_Usuario FROM Usuario WHERE NomeUsuario = '"&amp;SUBSTITUTE($B32,"'","''")&amp;"')"&amp;", "&amp;"'"&amp;SUBSTITUTE($C32,"'","''")&amp;"'"&amp;", "&amp;IF($D32="","SYSDATETIME()","'"&amp;SUBSTITUTE($D32,"'","''")&amp;"'")&amp;", "&amp;IF($E32="","'Pendente'","'"&amp;SUBSTITUTE($E32,"'","''")&amp;"'")&amp;", "&amp;IF($F32="","NULL","(SELECT ID_Usuario FROM Usuario WHERE NomeUsuario = '"&amp;SUBSTITUTE($F32,"'","''")&amp;"')")&amp;", "&amp;IF($G32="","NULL","'"&amp;SUBSTITUTE($G32,"'","''")&amp;"'")&amp;" WHERE NOT EXISTS (SELECT 1 FROM Comentarios c JOIN Posts p ON p.ID_Post = c.ID_Post JOIN Usuario u ON u.ID_Usuario = c.ID_Autor WHERE p.URL_Post = "&amp;"'"&amp;SUBSTITUTE($A32,"'","''")&amp;"'"&amp;" AND u.NomeUsuario = "&amp;"'"&amp;SUBSTITUTE($B32,"'","''")&amp;"'"&amp;" AND c.Texto = "&amp;"'"&amp;SUBSTITUTE($C32,"'","''")&amp;"'"&amp;");")</f>
        <v/>
      </c>
    </row>
    <row r="33" customFormat="false" ht="15" hidden="false" customHeight="false" outlineLevel="0" collapsed="false">
      <c r="A33" s="26"/>
      <c r="B33" s="26"/>
      <c r="C33" s="26"/>
      <c r="D33" s="28"/>
      <c r="E33" s="26"/>
      <c r="F33" s="26"/>
      <c r="G33" s="28"/>
      <c r="I33" s="25" t="str">
        <f aca="false">IF($A33="","","INSERT INTO Comentarios (ID_Post, ID_Autor, Texto, DataComentario, Status_Moderacao, ID_Moderador, DataModeracao) SELECT "&amp;"(SELECT ID_Post FROM Posts WHERE URL_Post = '"&amp;SUBSTITUTE($A33,"'","''")&amp;"')"&amp;", "&amp;"(SELECT ID_Usuario FROM Usuario WHERE NomeUsuario = '"&amp;SUBSTITUTE($B33,"'","''")&amp;"')"&amp;", "&amp;"'"&amp;SUBSTITUTE($C33,"'","''")&amp;"'"&amp;", "&amp;IF($D33="","SYSDATETIME()","'"&amp;SUBSTITUTE($D33,"'","''")&amp;"'")&amp;", "&amp;IF($E33="","'Pendente'","'"&amp;SUBSTITUTE($E33,"'","''")&amp;"'")&amp;", "&amp;IF($F33="","NULL","(SELECT ID_Usuario FROM Usuario WHERE NomeUsuario = '"&amp;SUBSTITUTE($F33,"'","''")&amp;"')")&amp;", "&amp;IF($G33="","NULL","'"&amp;SUBSTITUTE($G33,"'","''")&amp;"'")&amp;" WHERE NOT EXISTS (SELECT 1 FROM Comentarios c JOIN Posts p ON p.ID_Post = c.ID_Post JOIN Usuario u ON u.ID_Usuario = c.ID_Autor WHERE p.URL_Post = "&amp;"'"&amp;SUBSTITUTE($A33,"'","''")&amp;"'"&amp;" AND u.NomeUsuario = "&amp;"'"&amp;SUBSTITUTE($B33,"'","''")&amp;"'"&amp;" AND c.Texto = "&amp;"'"&amp;SUBSTITUTE($C33,"'","''")&amp;"'"&amp;");")</f>
        <v/>
      </c>
    </row>
    <row r="34" customFormat="false" ht="15" hidden="false" customHeight="false" outlineLevel="0" collapsed="false">
      <c r="A34" s="26"/>
      <c r="B34" s="26"/>
      <c r="C34" s="26"/>
      <c r="D34" s="28"/>
      <c r="E34" s="26"/>
      <c r="F34" s="26"/>
      <c r="G34" s="28"/>
      <c r="I34" s="25" t="str">
        <f aca="false">IF($A34="","","INSERT INTO Comentarios (ID_Post, ID_Autor, Texto, DataComentario, Status_Moderacao, ID_Moderador, DataModeracao) SELECT "&amp;"(SELECT ID_Post FROM Posts WHERE URL_Post = '"&amp;SUBSTITUTE($A34,"'","''")&amp;"')"&amp;", "&amp;"(SELECT ID_Usuario FROM Usuario WHERE NomeUsuario = '"&amp;SUBSTITUTE($B34,"'","''")&amp;"')"&amp;", "&amp;"'"&amp;SUBSTITUTE($C34,"'","''")&amp;"'"&amp;", "&amp;IF($D34="","SYSDATETIME()","'"&amp;SUBSTITUTE($D34,"'","''")&amp;"'")&amp;", "&amp;IF($E34="","'Pendente'","'"&amp;SUBSTITUTE($E34,"'","''")&amp;"'")&amp;", "&amp;IF($F34="","NULL","(SELECT ID_Usuario FROM Usuario WHERE NomeUsuario = '"&amp;SUBSTITUTE($F34,"'","''")&amp;"')")&amp;", "&amp;IF($G34="","NULL","'"&amp;SUBSTITUTE($G34,"'","''")&amp;"'")&amp;" WHERE NOT EXISTS (SELECT 1 FROM Comentarios c JOIN Posts p ON p.ID_Post = c.ID_Post JOIN Usuario u ON u.ID_Usuario = c.ID_Autor WHERE p.URL_Post = "&amp;"'"&amp;SUBSTITUTE($A34,"'","''")&amp;"'"&amp;" AND u.NomeUsuario = "&amp;"'"&amp;SUBSTITUTE($B34,"'","''")&amp;"'"&amp;" AND c.Texto = "&amp;"'"&amp;SUBSTITUTE($C34,"'","''")&amp;"'"&amp;");")</f>
        <v/>
      </c>
    </row>
    <row r="35" customFormat="false" ht="15" hidden="false" customHeight="false" outlineLevel="0" collapsed="false">
      <c r="A35" s="26"/>
      <c r="B35" s="26"/>
      <c r="C35" s="26"/>
      <c r="D35" s="28"/>
      <c r="E35" s="26"/>
      <c r="F35" s="26"/>
      <c r="G35" s="28"/>
      <c r="I35" s="25" t="str">
        <f aca="false">IF($A35="","","INSERT INTO Comentarios (ID_Post, ID_Autor, Texto, DataComentario, Status_Moderacao, ID_Moderador, DataModeracao) SELECT "&amp;"(SELECT ID_Post FROM Posts WHERE URL_Post = '"&amp;SUBSTITUTE($A35,"'","''")&amp;"')"&amp;", "&amp;"(SELECT ID_Usuario FROM Usuario WHERE NomeUsuario = '"&amp;SUBSTITUTE($B35,"'","''")&amp;"')"&amp;", "&amp;"'"&amp;SUBSTITUTE($C35,"'","''")&amp;"'"&amp;", "&amp;IF($D35="","SYSDATETIME()","'"&amp;SUBSTITUTE($D35,"'","''")&amp;"'")&amp;", "&amp;IF($E35="","'Pendente'","'"&amp;SUBSTITUTE($E35,"'","''")&amp;"'")&amp;", "&amp;IF($F35="","NULL","(SELECT ID_Usuario FROM Usuario WHERE NomeUsuario = '"&amp;SUBSTITUTE($F35,"'","''")&amp;"')")&amp;", "&amp;IF($G35="","NULL","'"&amp;SUBSTITUTE($G35,"'","''")&amp;"'")&amp;" WHERE NOT EXISTS (SELECT 1 FROM Comentarios c JOIN Posts p ON p.ID_Post = c.ID_Post JOIN Usuario u ON u.ID_Usuario = c.ID_Autor WHERE p.URL_Post = "&amp;"'"&amp;SUBSTITUTE($A35,"'","''")&amp;"'"&amp;" AND u.NomeUsuario = "&amp;"'"&amp;SUBSTITUTE($B35,"'","''")&amp;"'"&amp;" AND c.Texto = "&amp;"'"&amp;SUBSTITUTE($C35,"'","''")&amp;"'"&amp;");")</f>
        <v/>
      </c>
    </row>
    <row r="36" customFormat="false" ht="15" hidden="false" customHeight="false" outlineLevel="0" collapsed="false">
      <c r="A36" s="26"/>
      <c r="B36" s="26"/>
      <c r="C36" s="26"/>
      <c r="D36" s="28"/>
      <c r="E36" s="26"/>
      <c r="F36" s="26"/>
      <c r="G36" s="28"/>
      <c r="I36" s="25" t="str">
        <f aca="false">IF($A36="","","INSERT INTO Comentarios (ID_Post, ID_Autor, Texto, DataComentario, Status_Moderacao, ID_Moderador, DataModeracao) SELECT "&amp;"(SELECT ID_Post FROM Posts WHERE URL_Post = '"&amp;SUBSTITUTE($A36,"'","''")&amp;"')"&amp;", "&amp;"(SELECT ID_Usuario FROM Usuario WHERE NomeUsuario = '"&amp;SUBSTITUTE($B36,"'","''")&amp;"')"&amp;", "&amp;"'"&amp;SUBSTITUTE($C36,"'","''")&amp;"'"&amp;", "&amp;IF($D36="","SYSDATETIME()","'"&amp;SUBSTITUTE($D36,"'","''")&amp;"'")&amp;", "&amp;IF($E36="","'Pendente'","'"&amp;SUBSTITUTE($E36,"'","''")&amp;"'")&amp;", "&amp;IF($F36="","NULL","(SELECT ID_Usuario FROM Usuario WHERE NomeUsuario = '"&amp;SUBSTITUTE($F36,"'","''")&amp;"')")&amp;", "&amp;IF($G36="","NULL","'"&amp;SUBSTITUTE($G36,"'","''")&amp;"'")&amp;" WHERE NOT EXISTS (SELECT 1 FROM Comentarios c JOIN Posts p ON p.ID_Post = c.ID_Post JOIN Usuario u ON u.ID_Usuario = c.ID_Autor WHERE p.URL_Post = "&amp;"'"&amp;SUBSTITUTE($A36,"'","''")&amp;"'"&amp;" AND u.NomeUsuario = "&amp;"'"&amp;SUBSTITUTE($B36,"'","''")&amp;"'"&amp;" AND c.Texto = "&amp;"'"&amp;SUBSTITUTE($C36,"'","''")&amp;"'"&amp;");")</f>
        <v/>
      </c>
    </row>
    <row r="37" customFormat="false" ht="15" hidden="false" customHeight="false" outlineLevel="0" collapsed="false">
      <c r="A37" s="26"/>
      <c r="B37" s="26"/>
      <c r="C37" s="26"/>
      <c r="D37" s="28"/>
      <c r="E37" s="26"/>
      <c r="F37" s="26"/>
      <c r="G37" s="28"/>
      <c r="I37" s="25" t="str">
        <f aca="false">IF($A37="","","INSERT INTO Comentarios (ID_Post, ID_Autor, Texto, DataComentario, Status_Moderacao, ID_Moderador, DataModeracao) SELECT "&amp;"(SELECT ID_Post FROM Posts WHERE URL_Post = '"&amp;SUBSTITUTE($A37,"'","''")&amp;"')"&amp;", "&amp;"(SELECT ID_Usuario FROM Usuario WHERE NomeUsuario = '"&amp;SUBSTITUTE($B37,"'","''")&amp;"')"&amp;", "&amp;"'"&amp;SUBSTITUTE($C37,"'","''")&amp;"'"&amp;", "&amp;IF($D37="","SYSDATETIME()","'"&amp;SUBSTITUTE($D37,"'","''")&amp;"'")&amp;", "&amp;IF($E37="","'Pendente'","'"&amp;SUBSTITUTE($E37,"'","''")&amp;"'")&amp;", "&amp;IF($F37="","NULL","(SELECT ID_Usuario FROM Usuario WHERE NomeUsuario = '"&amp;SUBSTITUTE($F37,"'","''")&amp;"')")&amp;", "&amp;IF($G37="","NULL","'"&amp;SUBSTITUTE($G37,"'","''")&amp;"'")&amp;" WHERE NOT EXISTS (SELECT 1 FROM Comentarios c JOIN Posts p ON p.ID_Post = c.ID_Post JOIN Usuario u ON u.ID_Usuario = c.ID_Autor WHERE p.URL_Post = "&amp;"'"&amp;SUBSTITUTE($A37,"'","''")&amp;"'"&amp;" AND u.NomeUsuario = "&amp;"'"&amp;SUBSTITUTE($B37,"'","''")&amp;"'"&amp;" AND c.Texto = "&amp;"'"&amp;SUBSTITUTE($C37,"'","''")&amp;"'"&amp;");")</f>
        <v/>
      </c>
    </row>
    <row r="38" customFormat="false" ht="15" hidden="false" customHeight="false" outlineLevel="0" collapsed="false">
      <c r="A38" s="26"/>
      <c r="B38" s="26"/>
      <c r="C38" s="26"/>
      <c r="D38" s="28"/>
      <c r="E38" s="26"/>
      <c r="F38" s="26"/>
      <c r="G38" s="28"/>
      <c r="I38" s="25" t="str">
        <f aca="false">IF($A38="","","INSERT INTO Comentarios (ID_Post, ID_Autor, Texto, DataComentario, Status_Moderacao, ID_Moderador, DataModeracao) SELECT "&amp;"(SELECT ID_Post FROM Posts WHERE URL_Post = '"&amp;SUBSTITUTE($A38,"'","''")&amp;"')"&amp;", "&amp;"(SELECT ID_Usuario FROM Usuario WHERE NomeUsuario = '"&amp;SUBSTITUTE($B38,"'","''")&amp;"')"&amp;", "&amp;"'"&amp;SUBSTITUTE($C38,"'","''")&amp;"'"&amp;", "&amp;IF($D38="","SYSDATETIME()","'"&amp;SUBSTITUTE($D38,"'","''")&amp;"'")&amp;", "&amp;IF($E38="","'Pendente'","'"&amp;SUBSTITUTE($E38,"'","''")&amp;"'")&amp;", "&amp;IF($F38="","NULL","(SELECT ID_Usuario FROM Usuario WHERE NomeUsuario = '"&amp;SUBSTITUTE($F38,"'","''")&amp;"')")&amp;", "&amp;IF($G38="","NULL","'"&amp;SUBSTITUTE($G38,"'","''")&amp;"'")&amp;" WHERE NOT EXISTS (SELECT 1 FROM Comentarios c JOIN Posts p ON p.ID_Post = c.ID_Post JOIN Usuario u ON u.ID_Usuario = c.ID_Autor WHERE p.URL_Post = "&amp;"'"&amp;SUBSTITUTE($A38,"'","''")&amp;"'"&amp;" AND u.NomeUsuario = "&amp;"'"&amp;SUBSTITUTE($B38,"'","''")&amp;"'"&amp;" AND c.Texto = "&amp;"'"&amp;SUBSTITUTE($C38,"'","''")&amp;"'"&amp;");")</f>
        <v/>
      </c>
    </row>
    <row r="39" customFormat="false" ht="15" hidden="false" customHeight="false" outlineLevel="0" collapsed="false">
      <c r="A39" s="26"/>
      <c r="B39" s="26"/>
      <c r="C39" s="26"/>
      <c r="D39" s="28"/>
      <c r="E39" s="26"/>
      <c r="F39" s="26"/>
      <c r="G39" s="28"/>
      <c r="I39" s="25" t="str">
        <f aca="false">IF($A39="","","INSERT INTO Comentarios (ID_Post, ID_Autor, Texto, DataComentario, Status_Moderacao, ID_Moderador, DataModeracao) SELECT "&amp;"(SELECT ID_Post FROM Posts WHERE URL_Post = '"&amp;SUBSTITUTE($A39,"'","''")&amp;"')"&amp;", "&amp;"(SELECT ID_Usuario FROM Usuario WHERE NomeUsuario = '"&amp;SUBSTITUTE($B39,"'","''")&amp;"')"&amp;", "&amp;"'"&amp;SUBSTITUTE($C39,"'","''")&amp;"'"&amp;", "&amp;IF($D39="","SYSDATETIME()","'"&amp;SUBSTITUTE($D39,"'","''")&amp;"'")&amp;", "&amp;IF($E39="","'Pendente'","'"&amp;SUBSTITUTE($E39,"'","''")&amp;"'")&amp;", "&amp;IF($F39="","NULL","(SELECT ID_Usuario FROM Usuario WHERE NomeUsuario = '"&amp;SUBSTITUTE($F39,"'","''")&amp;"')")&amp;", "&amp;IF($G39="","NULL","'"&amp;SUBSTITUTE($G39,"'","''")&amp;"'")&amp;" WHERE NOT EXISTS (SELECT 1 FROM Comentarios c JOIN Posts p ON p.ID_Post = c.ID_Post JOIN Usuario u ON u.ID_Usuario = c.ID_Autor WHERE p.URL_Post = "&amp;"'"&amp;SUBSTITUTE($A39,"'","''")&amp;"'"&amp;" AND u.NomeUsuario = "&amp;"'"&amp;SUBSTITUTE($B39,"'","''")&amp;"'"&amp;" AND c.Texto = "&amp;"'"&amp;SUBSTITUTE($C39,"'","''")&amp;"'"&amp;");")</f>
        <v/>
      </c>
    </row>
    <row r="40" customFormat="false" ht="15" hidden="false" customHeight="false" outlineLevel="0" collapsed="false">
      <c r="A40" s="26"/>
      <c r="B40" s="26"/>
      <c r="C40" s="26"/>
      <c r="D40" s="28"/>
      <c r="E40" s="26"/>
      <c r="F40" s="26"/>
      <c r="G40" s="28"/>
      <c r="I40" s="25" t="str">
        <f aca="false">IF($A40="","","INSERT INTO Comentarios (ID_Post, ID_Autor, Texto, DataComentario, Status_Moderacao, ID_Moderador, DataModeracao) SELECT "&amp;"(SELECT ID_Post FROM Posts WHERE URL_Post = '"&amp;SUBSTITUTE($A40,"'","''")&amp;"')"&amp;", "&amp;"(SELECT ID_Usuario FROM Usuario WHERE NomeUsuario = '"&amp;SUBSTITUTE($B40,"'","''")&amp;"')"&amp;", "&amp;"'"&amp;SUBSTITUTE($C40,"'","''")&amp;"'"&amp;", "&amp;IF($D40="","SYSDATETIME()","'"&amp;SUBSTITUTE($D40,"'","''")&amp;"'")&amp;", "&amp;IF($E40="","'Pendente'","'"&amp;SUBSTITUTE($E40,"'","''")&amp;"'")&amp;", "&amp;IF($F40="","NULL","(SELECT ID_Usuario FROM Usuario WHERE NomeUsuario = '"&amp;SUBSTITUTE($F40,"'","''")&amp;"')")&amp;", "&amp;IF($G40="","NULL","'"&amp;SUBSTITUTE($G40,"'","''")&amp;"'")&amp;" WHERE NOT EXISTS (SELECT 1 FROM Comentarios c JOIN Posts p ON p.ID_Post = c.ID_Post JOIN Usuario u ON u.ID_Usuario = c.ID_Autor WHERE p.URL_Post = "&amp;"'"&amp;SUBSTITUTE($A40,"'","''")&amp;"'"&amp;" AND u.NomeUsuario = "&amp;"'"&amp;SUBSTITUTE($B40,"'","''")&amp;"'"&amp;" AND c.Texto = "&amp;"'"&amp;SUBSTITUTE($C40,"'","''")&amp;"'"&amp;");")</f>
        <v/>
      </c>
    </row>
    <row r="41" customFormat="false" ht="15" hidden="false" customHeight="false" outlineLevel="0" collapsed="false">
      <c r="A41" s="26"/>
      <c r="B41" s="26"/>
      <c r="C41" s="26"/>
      <c r="D41" s="28"/>
      <c r="E41" s="26"/>
      <c r="F41" s="26"/>
      <c r="G41" s="28"/>
      <c r="I41" s="25" t="str">
        <f aca="false">IF($A41="","","INSERT INTO Comentarios (ID_Post, ID_Autor, Texto, DataComentario, Status_Moderacao, ID_Moderador, DataModeracao) SELECT "&amp;"(SELECT ID_Post FROM Posts WHERE URL_Post = '"&amp;SUBSTITUTE($A41,"'","''")&amp;"')"&amp;", "&amp;"(SELECT ID_Usuario FROM Usuario WHERE NomeUsuario = '"&amp;SUBSTITUTE($B41,"'","''")&amp;"')"&amp;", "&amp;"'"&amp;SUBSTITUTE($C41,"'","''")&amp;"'"&amp;", "&amp;IF($D41="","SYSDATETIME()","'"&amp;SUBSTITUTE($D41,"'","''")&amp;"'")&amp;", "&amp;IF($E41="","'Pendente'","'"&amp;SUBSTITUTE($E41,"'","''")&amp;"'")&amp;", "&amp;IF($F41="","NULL","(SELECT ID_Usuario FROM Usuario WHERE NomeUsuario = '"&amp;SUBSTITUTE($F41,"'","''")&amp;"')")&amp;", "&amp;IF($G41="","NULL","'"&amp;SUBSTITUTE($G41,"'","''")&amp;"'")&amp;" WHERE NOT EXISTS (SELECT 1 FROM Comentarios c JOIN Posts p ON p.ID_Post = c.ID_Post JOIN Usuario u ON u.ID_Usuario = c.ID_Autor WHERE p.URL_Post = "&amp;"'"&amp;SUBSTITUTE($A41,"'","''")&amp;"'"&amp;" AND u.NomeUsuario = "&amp;"'"&amp;SUBSTITUTE($B41,"'","''")&amp;"'"&amp;" AND c.Texto = "&amp;"'"&amp;SUBSTITUTE($C41,"'","''")&amp;"'"&amp;");")</f>
        <v/>
      </c>
    </row>
    <row r="42" customFormat="false" ht="15" hidden="false" customHeight="false" outlineLevel="0" collapsed="false">
      <c r="A42" s="26"/>
      <c r="B42" s="26"/>
      <c r="C42" s="26"/>
      <c r="D42" s="28"/>
      <c r="E42" s="26"/>
      <c r="F42" s="26"/>
      <c r="G42" s="28"/>
      <c r="I42" s="25" t="str">
        <f aca="false">IF($A42="","","INSERT INTO Comentarios (ID_Post, ID_Autor, Texto, DataComentario, Status_Moderacao, ID_Moderador, DataModeracao) SELECT "&amp;"(SELECT ID_Post FROM Posts WHERE URL_Post = '"&amp;SUBSTITUTE($A42,"'","''")&amp;"')"&amp;", "&amp;"(SELECT ID_Usuario FROM Usuario WHERE NomeUsuario = '"&amp;SUBSTITUTE($B42,"'","''")&amp;"')"&amp;", "&amp;"'"&amp;SUBSTITUTE($C42,"'","''")&amp;"'"&amp;", "&amp;IF($D42="","SYSDATETIME()","'"&amp;SUBSTITUTE($D42,"'","''")&amp;"'")&amp;", "&amp;IF($E42="","'Pendente'","'"&amp;SUBSTITUTE($E42,"'","''")&amp;"'")&amp;", "&amp;IF($F42="","NULL","(SELECT ID_Usuario FROM Usuario WHERE NomeUsuario = '"&amp;SUBSTITUTE($F42,"'","''")&amp;"')")&amp;", "&amp;IF($G42="","NULL","'"&amp;SUBSTITUTE($G42,"'","''")&amp;"'")&amp;" WHERE NOT EXISTS (SELECT 1 FROM Comentarios c JOIN Posts p ON p.ID_Post = c.ID_Post JOIN Usuario u ON u.ID_Usuario = c.ID_Autor WHERE p.URL_Post = "&amp;"'"&amp;SUBSTITUTE($A42,"'","''")&amp;"'"&amp;" AND u.NomeUsuario = "&amp;"'"&amp;SUBSTITUTE($B42,"'","''")&amp;"'"&amp;" AND c.Texto = "&amp;"'"&amp;SUBSTITUTE($C42,"'","''")&amp;"'"&amp;");")</f>
        <v/>
      </c>
    </row>
    <row r="43" customFormat="false" ht="15" hidden="false" customHeight="false" outlineLevel="0" collapsed="false">
      <c r="A43" s="26"/>
      <c r="B43" s="26"/>
      <c r="C43" s="26"/>
      <c r="D43" s="28"/>
      <c r="E43" s="26"/>
      <c r="F43" s="26"/>
      <c r="G43" s="28"/>
      <c r="I43" s="25" t="str">
        <f aca="false">IF($A43="","","INSERT INTO Comentarios (ID_Post, ID_Autor, Texto, DataComentario, Status_Moderacao, ID_Moderador, DataModeracao) SELECT "&amp;"(SELECT ID_Post FROM Posts WHERE URL_Post = '"&amp;SUBSTITUTE($A43,"'","''")&amp;"')"&amp;", "&amp;"(SELECT ID_Usuario FROM Usuario WHERE NomeUsuario = '"&amp;SUBSTITUTE($B43,"'","''")&amp;"')"&amp;", "&amp;"'"&amp;SUBSTITUTE($C43,"'","''")&amp;"'"&amp;", "&amp;IF($D43="","SYSDATETIME()","'"&amp;SUBSTITUTE($D43,"'","''")&amp;"'")&amp;", "&amp;IF($E43="","'Pendente'","'"&amp;SUBSTITUTE($E43,"'","''")&amp;"'")&amp;", "&amp;IF($F43="","NULL","(SELECT ID_Usuario FROM Usuario WHERE NomeUsuario = '"&amp;SUBSTITUTE($F43,"'","''")&amp;"')")&amp;", "&amp;IF($G43="","NULL","'"&amp;SUBSTITUTE($G43,"'","''")&amp;"'")&amp;" WHERE NOT EXISTS (SELECT 1 FROM Comentarios c JOIN Posts p ON p.ID_Post = c.ID_Post JOIN Usuario u ON u.ID_Usuario = c.ID_Autor WHERE p.URL_Post = "&amp;"'"&amp;SUBSTITUTE($A43,"'","''")&amp;"'"&amp;" AND u.NomeUsuario = "&amp;"'"&amp;SUBSTITUTE($B43,"'","''")&amp;"'"&amp;" AND c.Texto = "&amp;"'"&amp;SUBSTITUTE($C43,"'","''")&amp;"'"&amp;");")</f>
        <v/>
      </c>
    </row>
    <row r="44" customFormat="false" ht="15" hidden="false" customHeight="false" outlineLevel="0" collapsed="false">
      <c r="A44" s="26"/>
      <c r="B44" s="26"/>
      <c r="C44" s="26"/>
      <c r="D44" s="28"/>
      <c r="E44" s="26"/>
      <c r="F44" s="26"/>
      <c r="G44" s="28"/>
      <c r="I44" s="25" t="str">
        <f aca="false">IF($A44="","","INSERT INTO Comentarios (ID_Post, ID_Autor, Texto, DataComentario, Status_Moderacao, ID_Moderador, DataModeracao) SELECT "&amp;"(SELECT ID_Post FROM Posts WHERE URL_Post = '"&amp;SUBSTITUTE($A44,"'","''")&amp;"')"&amp;", "&amp;"(SELECT ID_Usuario FROM Usuario WHERE NomeUsuario = '"&amp;SUBSTITUTE($B44,"'","''")&amp;"')"&amp;", "&amp;"'"&amp;SUBSTITUTE($C44,"'","''")&amp;"'"&amp;", "&amp;IF($D44="","SYSDATETIME()","'"&amp;SUBSTITUTE($D44,"'","''")&amp;"'")&amp;", "&amp;IF($E44="","'Pendente'","'"&amp;SUBSTITUTE($E44,"'","''")&amp;"'")&amp;", "&amp;IF($F44="","NULL","(SELECT ID_Usuario FROM Usuario WHERE NomeUsuario = '"&amp;SUBSTITUTE($F44,"'","''")&amp;"')")&amp;", "&amp;IF($G44="","NULL","'"&amp;SUBSTITUTE($G44,"'","''")&amp;"'")&amp;" WHERE NOT EXISTS (SELECT 1 FROM Comentarios c JOIN Posts p ON p.ID_Post = c.ID_Post JOIN Usuario u ON u.ID_Usuario = c.ID_Autor WHERE p.URL_Post = "&amp;"'"&amp;SUBSTITUTE($A44,"'","''")&amp;"'"&amp;" AND u.NomeUsuario = "&amp;"'"&amp;SUBSTITUTE($B44,"'","''")&amp;"'"&amp;" AND c.Texto = "&amp;"'"&amp;SUBSTITUTE($C44,"'","''")&amp;"'"&amp;");")</f>
        <v/>
      </c>
    </row>
    <row r="45" customFormat="false" ht="15" hidden="false" customHeight="false" outlineLevel="0" collapsed="false">
      <c r="A45" s="26"/>
      <c r="B45" s="26"/>
      <c r="C45" s="26"/>
      <c r="D45" s="28"/>
      <c r="E45" s="26"/>
      <c r="F45" s="26"/>
      <c r="G45" s="28"/>
      <c r="I45" s="25" t="str">
        <f aca="false">IF($A45="","","INSERT INTO Comentarios (ID_Post, ID_Autor, Texto, DataComentario, Status_Moderacao, ID_Moderador, DataModeracao) SELECT "&amp;"(SELECT ID_Post FROM Posts WHERE URL_Post = '"&amp;SUBSTITUTE($A45,"'","''")&amp;"')"&amp;", "&amp;"(SELECT ID_Usuario FROM Usuario WHERE NomeUsuario = '"&amp;SUBSTITUTE($B45,"'","''")&amp;"')"&amp;", "&amp;"'"&amp;SUBSTITUTE($C45,"'","''")&amp;"'"&amp;", "&amp;IF($D45="","SYSDATETIME()","'"&amp;SUBSTITUTE($D45,"'","''")&amp;"'")&amp;", "&amp;IF($E45="","'Pendente'","'"&amp;SUBSTITUTE($E45,"'","''")&amp;"'")&amp;", "&amp;IF($F45="","NULL","(SELECT ID_Usuario FROM Usuario WHERE NomeUsuario = '"&amp;SUBSTITUTE($F45,"'","''")&amp;"')")&amp;", "&amp;IF($G45="","NULL","'"&amp;SUBSTITUTE($G45,"'","''")&amp;"'")&amp;" WHERE NOT EXISTS (SELECT 1 FROM Comentarios c JOIN Posts p ON p.ID_Post = c.ID_Post JOIN Usuario u ON u.ID_Usuario = c.ID_Autor WHERE p.URL_Post = "&amp;"'"&amp;SUBSTITUTE($A45,"'","''")&amp;"'"&amp;" AND u.NomeUsuario = "&amp;"'"&amp;SUBSTITUTE($B45,"'","''")&amp;"'"&amp;" AND c.Texto = "&amp;"'"&amp;SUBSTITUTE($C45,"'","''")&amp;"'"&amp;");")</f>
        <v/>
      </c>
    </row>
    <row r="46" customFormat="false" ht="15" hidden="false" customHeight="false" outlineLevel="0" collapsed="false">
      <c r="A46" s="26"/>
      <c r="B46" s="26"/>
      <c r="C46" s="26"/>
      <c r="D46" s="28"/>
      <c r="E46" s="26"/>
      <c r="F46" s="26"/>
      <c r="G46" s="28"/>
      <c r="I46" s="25" t="str">
        <f aca="false">IF($A46="","","INSERT INTO Comentarios (ID_Post, ID_Autor, Texto, DataComentario, Status_Moderacao, ID_Moderador, DataModeracao) SELECT "&amp;"(SELECT ID_Post FROM Posts WHERE URL_Post = '"&amp;SUBSTITUTE($A46,"'","''")&amp;"')"&amp;", "&amp;"(SELECT ID_Usuario FROM Usuario WHERE NomeUsuario = '"&amp;SUBSTITUTE($B46,"'","''")&amp;"')"&amp;", "&amp;"'"&amp;SUBSTITUTE($C46,"'","''")&amp;"'"&amp;", "&amp;IF($D46="","SYSDATETIME()","'"&amp;SUBSTITUTE($D46,"'","''")&amp;"'")&amp;", "&amp;IF($E46="","'Pendente'","'"&amp;SUBSTITUTE($E46,"'","''")&amp;"'")&amp;", "&amp;IF($F46="","NULL","(SELECT ID_Usuario FROM Usuario WHERE NomeUsuario = '"&amp;SUBSTITUTE($F46,"'","''")&amp;"')")&amp;", "&amp;IF($G46="","NULL","'"&amp;SUBSTITUTE($G46,"'","''")&amp;"'")&amp;" WHERE NOT EXISTS (SELECT 1 FROM Comentarios c JOIN Posts p ON p.ID_Post = c.ID_Post JOIN Usuario u ON u.ID_Usuario = c.ID_Autor WHERE p.URL_Post = "&amp;"'"&amp;SUBSTITUTE($A46,"'","''")&amp;"'"&amp;" AND u.NomeUsuario = "&amp;"'"&amp;SUBSTITUTE($B46,"'","''")&amp;"'"&amp;" AND c.Texto = "&amp;"'"&amp;SUBSTITUTE($C46,"'","''")&amp;"'"&amp;");")</f>
        <v/>
      </c>
    </row>
    <row r="47" customFormat="false" ht="15" hidden="false" customHeight="false" outlineLevel="0" collapsed="false">
      <c r="A47" s="26"/>
      <c r="B47" s="26"/>
      <c r="C47" s="26"/>
      <c r="D47" s="28"/>
      <c r="E47" s="26"/>
      <c r="F47" s="26"/>
      <c r="G47" s="28"/>
      <c r="I47" s="25" t="str">
        <f aca="false">IF($A47="","","INSERT INTO Comentarios (ID_Post, ID_Autor, Texto, DataComentario, Status_Moderacao, ID_Moderador, DataModeracao) SELECT "&amp;"(SELECT ID_Post FROM Posts WHERE URL_Post = '"&amp;SUBSTITUTE($A47,"'","''")&amp;"')"&amp;", "&amp;"(SELECT ID_Usuario FROM Usuario WHERE NomeUsuario = '"&amp;SUBSTITUTE($B47,"'","''")&amp;"')"&amp;", "&amp;"'"&amp;SUBSTITUTE($C47,"'","''")&amp;"'"&amp;", "&amp;IF($D47="","SYSDATETIME()","'"&amp;SUBSTITUTE($D47,"'","''")&amp;"'")&amp;", "&amp;IF($E47="","'Pendente'","'"&amp;SUBSTITUTE($E47,"'","''")&amp;"'")&amp;", "&amp;IF($F47="","NULL","(SELECT ID_Usuario FROM Usuario WHERE NomeUsuario = '"&amp;SUBSTITUTE($F47,"'","''")&amp;"')")&amp;", "&amp;IF($G47="","NULL","'"&amp;SUBSTITUTE($G47,"'","''")&amp;"'")&amp;" WHERE NOT EXISTS (SELECT 1 FROM Comentarios c JOIN Posts p ON p.ID_Post = c.ID_Post JOIN Usuario u ON u.ID_Usuario = c.ID_Autor WHERE p.URL_Post = "&amp;"'"&amp;SUBSTITUTE($A47,"'","''")&amp;"'"&amp;" AND u.NomeUsuario = "&amp;"'"&amp;SUBSTITUTE($B47,"'","''")&amp;"'"&amp;" AND c.Texto = "&amp;"'"&amp;SUBSTITUTE($C47,"'","''")&amp;"'"&amp;");")</f>
        <v/>
      </c>
    </row>
    <row r="48" customFormat="false" ht="15" hidden="false" customHeight="false" outlineLevel="0" collapsed="false">
      <c r="A48" s="26"/>
      <c r="B48" s="26"/>
      <c r="C48" s="26"/>
      <c r="D48" s="28"/>
      <c r="E48" s="26"/>
      <c r="F48" s="26"/>
      <c r="G48" s="28"/>
      <c r="I48" s="25" t="str">
        <f aca="false">IF($A48="","","INSERT INTO Comentarios (ID_Post, ID_Autor, Texto, DataComentario, Status_Moderacao, ID_Moderador, DataModeracao) SELECT "&amp;"(SELECT ID_Post FROM Posts WHERE URL_Post = '"&amp;SUBSTITUTE($A48,"'","''")&amp;"')"&amp;", "&amp;"(SELECT ID_Usuario FROM Usuario WHERE NomeUsuario = '"&amp;SUBSTITUTE($B48,"'","''")&amp;"')"&amp;", "&amp;"'"&amp;SUBSTITUTE($C48,"'","''")&amp;"'"&amp;", "&amp;IF($D48="","SYSDATETIME()","'"&amp;SUBSTITUTE($D48,"'","''")&amp;"'")&amp;", "&amp;IF($E48="","'Pendente'","'"&amp;SUBSTITUTE($E48,"'","''")&amp;"'")&amp;", "&amp;IF($F48="","NULL","(SELECT ID_Usuario FROM Usuario WHERE NomeUsuario = '"&amp;SUBSTITUTE($F48,"'","''")&amp;"')")&amp;", "&amp;IF($G48="","NULL","'"&amp;SUBSTITUTE($G48,"'","''")&amp;"'")&amp;" WHERE NOT EXISTS (SELECT 1 FROM Comentarios c JOIN Posts p ON p.ID_Post = c.ID_Post JOIN Usuario u ON u.ID_Usuario = c.ID_Autor WHERE p.URL_Post = "&amp;"'"&amp;SUBSTITUTE($A48,"'","''")&amp;"'"&amp;" AND u.NomeUsuario = "&amp;"'"&amp;SUBSTITUTE($B48,"'","''")&amp;"'"&amp;" AND c.Texto = "&amp;"'"&amp;SUBSTITUTE($C48,"'","''")&amp;"'"&amp;");")</f>
        <v/>
      </c>
    </row>
    <row r="49" customFormat="false" ht="15" hidden="false" customHeight="false" outlineLevel="0" collapsed="false">
      <c r="A49" s="26"/>
      <c r="B49" s="26"/>
      <c r="C49" s="26"/>
      <c r="D49" s="28"/>
      <c r="E49" s="26"/>
      <c r="F49" s="26"/>
      <c r="G49" s="28"/>
      <c r="I49" s="25" t="str">
        <f aca="false">IF($A49="","","INSERT INTO Comentarios (ID_Post, ID_Autor, Texto, DataComentario, Status_Moderacao, ID_Moderador, DataModeracao) SELECT "&amp;"(SELECT ID_Post FROM Posts WHERE URL_Post = '"&amp;SUBSTITUTE($A49,"'","''")&amp;"')"&amp;", "&amp;"(SELECT ID_Usuario FROM Usuario WHERE NomeUsuario = '"&amp;SUBSTITUTE($B49,"'","''")&amp;"')"&amp;", "&amp;"'"&amp;SUBSTITUTE($C49,"'","''")&amp;"'"&amp;", "&amp;IF($D49="","SYSDATETIME()","'"&amp;SUBSTITUTE($D49,"'","''")&amp;"'")&amp;", "&amp;IF($E49="","'Pendente'","'"&amp;SUBSTITUTE($E49,"'","''")&amp;"'")&amp;", "&amp;IF($F49="","NULL","(SELECT ID_Usuario FROM Usuario WHERE NomeUsuario = '"&amp;SUBSTITUTE($F49,"'","''")&amp;"')")&amp;", "&amp;IF($G49="","NULL","'"&amp;SUBSTITUTE($G49,"'","''")&amp;"'")&amp;" WHERE NOT EXISTS (SELECT 1 FROM Comentarios c JOIN Posts p ON p.ID_Post = c.ID_Post JOIN Usuario u ON u.ID_Usuario = c.ID_Autor WHERE p.URL_Post = "&amp;"'"&amp;SUBSTITUTE($A49,"'","''")&amp;"'"&amp;" AND u.NomeUsuario = "&amp;"'"&amp;SUBSTITUTE($B49,"'","''")&amp;"'"&amp;" AND c.Texto = "&amp;"'"&amp;SUBSTITUTE($C49,"'","''")&amp;"'"&amp;");")</f>
        <v/>
      </c>
    </row>
    <row r="50" customFormat="false" ht="15" hidden="false" customHeight="false" outlineLevel="0" collapsed="false">
      <c r="A50" s="26"/>
      <c r="B50" s="26"/>
      <c r="C50" s="26"/>
      <c r="D50" s="28"/>
      <c r="E50" s="26"/>
      <c r="F50" s="26"/>
      <c r="G50" s="28"/>
      <c r="I50" s="25" t="str">
        <f aca="false">IF($A50="","","INSERT INTO Comentarios (ID_Post, ID_Autor, Texto, DataComentario, Status_Moderacao, ID_Moderador, DataModeracao) SELECT "&amp;"(SELECT ID_Post FROM Posts WHERE URL_Post = '"&amp;SUBSTITUTE($A50,"'","''")&amp;"')"&amp;", "&amp;"(SELECT ID_Usuario FROM Usuario WHERE NomeUsuario = '"&amp;SUBSTITUTE($B50,"'","''")&amp;"')"&amp;", "&amp;"'"&amp;SUBSTITUTE($C50,"'","''")&amp;"'"&amp;", "&amp;IF($D50="","SYSDATETIME()","'"&amp;SUBSTITUTE($D50,"'","''")&amp;"'")&amp;", "&amp;IF($E50="","'Pendente'","'"&amp;SUBSTITUTE($E50,"'","''")&amp;"'")&amp;", "&amp;IF($F50="","NULL","(SELECT ID_Usuario FROM Usuario WHERE NomeUsuario = '"&amp;SUBSTITUTE($F50,"'","''")&amp;"')")&amp;", "&amp;IF($G50="","NULL","'"&amp;SUBSTITUTE($G50,"'","''")&amp;"'")&amp;" WHERE NOT EXISTS (SELECT 1 FROM Comentarios c JOIN Posts p ON p.ID_Post = c.ID_Post JOIN Usuario u ON u.ID_Usuario = c.ID_Autor WHERE p.URL_Post = "&amp;"'"&amp;SUBSTITUTE($A50,"'","''")&amp;"'"&amp;" AND u.NomeUsuario = "&amp;"'"&amp;SUBSTITUTE($B50,"'","''")&amp;"'"&amp;" AND c.Texto = "&amp;"'"&amp;SUBSTITUTE($C50,"'","''")&amp;"'"&amp;");")</f>
        <v/>
      </c>
    </row>
    <row r="51" customFormat="false" ht="15" hidden="false" customHeight="false" outlineLevel="0" collapsed="false">
      <c r="A51" s="26"/>
      <c r="B51" s="26"/>
      <c r="C51" s="26"/>
      <c r="D51" s="28"/>
      <c r="E51" s="26"/>
      <c r="F51" s="26"/>
      <c r="G51" s="28"/>
      <c r="I51" s="25" t="str">
        <f aca="false">IF($A51="","","INSERT INTO Comentarios (ID_Post, ID_Autor, Texto, DataComentario, Status_Moderacao, ID_Moderador, DataModeracao) SELECT "&amp;"(SELECT ID_Post FROM Posts WHERE URL_Post = '"&amp;SUBSTITUTE($A51,"'","''")&amp;"')"&amp;", "&amp;"(SELECT ID_Usuario FROM Usuario WHERE NomeUsuario = '"&amp;SUBSTITUTE($B51,"'","''")&amp;"')"&amp;", "&amp;"'"&amp;SUBSTITUTE($C51,"'","''")&amp;"'"&amp;", "&amp;IF($D51="","SYSDATETIME()","'"&amp;SUBSTITUTE($D51,"'","''")&amp;"'")&amp;", "&amp;IF($E51="","'Pendente'","'"&amp;SUBSTITUTE($E51,"'","''")&amp;"'")&amp;", "&amp;IF($F51="","NULL","(SELECT ID_Usuario FROM Usuario WHERE NomeUsuario = '"&amp;SUBSTITUTE($F51,"'","''")&amp;"')")&amp;", "&amp;IF($G51="","NULL","'"&amp;SUBSTITUTE($G51,"'","''")&amp;"'")&amp;" WHERE NOT EXISTS (SELECT 1 FROM Comentarios c JOIN Posts p ON p.ID_Post = c.ID_Post JOIN Usuario u ON u.ID_Usuario = c.ID_Autor WHERE p.URL_Post = "&amp;"'"&amp;SUBSTITUTE($A51,"'","''")&amp;"'"&amp;" AND u.NomeUsuario = "&amp;"'"&amp;SUBSTITUTE($B51,"'","''")&amp;"'"&amp;" AND c.Texto = "&amp;"'"&amp;SUBSTITUTE($C51,"'","''")&amp;"'"&amp;");")</f>
        <v/>
      </c>
    </row>
    <row r="52" customFormat="false" ht="15" hidden="false" customHeight="false" outlineLevel="0" collapsed="false">
      <c r="A52" s="26"/>
      <c r="B52" s="26"/>
      <c r="C52" s="26"/>
      <c r="D52" s="28"/>
      <c r="E52" s="26"/>
      <c r="F52" s="26"/>
      <c r="G52" s="28"/>
      <c r="I52" s="25" t="str">
        <f aca="false">IF($A52="","","INSERT INTO Comentarios (ID_Post, ID_Autor, Texto, DataComentario, Status_Moderacao, ID_Moderador, DataModeracao) SELECT "&amp;"(SELECT ID_Post FROM Posts WHERE URL_Post = '"&amp;SUBSTITUTE($A52,"'","''")&amp;"')"&amp;", "&amp;"(SELECT ID_Usuario FROM Usuario WHERE NomeUsuario = '"&amp;SUBSTITUTE($B52,"'","''")&amp;"')"&amp;", "&amp;"'"&amp;SUBSTITUTE($C52,"'","''")&amp;"'"&amp;", "&amp;IF($D52="","SYSDATETIME()","'"&amp;SUBSTITUTE($D52,"'","''")&amp;"'")&amp;", "&amp;IF($E52="","'Pendente'","'"&amp;SUBSTITUTE($E52,"'","''")&amp;"'")&amp;", "&amp;IF($F52="","NULL","(SELECT ID_Usuario FROM Usuario WHERE NomeUsuario = '"&amp;SUBSTITUTE($F52,"'","''")&amp;"')")&amp;", "&amp;IF($G52="","NULL","'"&amp;SUBSTITUTE($G52,"'","''")&amp;"'")&amp;" WHERE NOT EXISTS (SELECT 1 FROM Comentarios c JOIN Posts p ON p.ID_Post = c.ID_Post JOIN Usuario u ON u.ID_Usuario = c.ID_Autor WHERE p.URL_Post = "&amp;"'"&amp;SUBSTITUTE($A52,"'","''")&amp;"'"&amp;" AND u.NomeUsuario = "&amp;"'"&amp;SUBSTITUTE($B52,"'","''")&amp;"'"&amp;" AND c.Texto = "&amp;"'"&amp;SUBSTITUTE($C52,"'","''")&amp;"'"&amp;");")</f>
        <v/>
      </c>
    </row>
    <row r="53" customFormat="false" ht="15" hidden="false" customHeight="false" outlineLevel="0" collapsed="false">
      <c r="A53" s="26"/>
      <c r="B53" s="26"/>
      <c r="C53" s="26"/>
      <c r="D53" s="28"/>
      <c r="E53" s="26"/>
      <c r="F53" s="26"/>
      <c r="G53" s="28"/>
      <c r="I53" s="25" t="str">
        <f aca="false">IF($A53="","","INSERT INTO Comentarios (ID_Post, ID_Autor, Texto, DataComentario, Status_Moderacao, ID_Moderador, DataModeracao) SELECT "&amp;"(SELECT ID_Post FROM Posts WHERE URL_Post = '"&amp;SUBSTITUTE($A53,"'","''")&amp;"')"&amp;", "&amp;"(SELECT ID_Usuario FROM Usuario WHERE NomeUsuario = '"&amp;SUBSTITUTE($B53,"'","''")&amp;"')"&amp;", "&amp;"'"&amp;SUBSTITUTE($C53,"'","''")&amp;"'"&amp;", "&amp;IF($D53="","SYSDATETIME()","'"&amp;SUBSTITUTE($D53,"'","''")&amp;"'")&amp;", "&amp;IF($E53="","'Pendente'","'"&amp;SUBSTITUTE($E53,"'","''")&amp;"'")&amp;", "&amp;IF($F53="","NULL","(SELECT ID_Usuario FROM Usuario WHERE NomeUsuario = '"&amp;SUBSTITUTE($F53,"'","''")&amp;"')")&amp;", "&amp;IF($G53="","NULL","'"&amp;SUBSTITUTE($G53,"'","''")&amp;"'")&amp;" WHERE NOT EXISTS (SELECT 1 FROM Comentarios c JOIN Posts p ON p.ID_Post = c.ID_Post JOIN Usuario u ON u.ID_Usuario = c.ID_Autor WHERE p.URL_Post = "&amp;"'"&amp;SUBSTITUTE($A53,"'","''")&amp;"'"&amp;" AND u.NomeUsuario = "&amp;"'"&amp;SUBSTITUTE($B53,"'","''")&amp;"'"&amp;" AND c.Texto = "&amp;"'"&amp;SUBSTITUTE($C53,"'","''")&amp;"'"&amp;");")</f>
        <v/>
      </c>
    </row>
    <row r="54" customFormat="false" ht="15" hidden="false" customHeight="false" outlineLevel="0" collapsed="false">
      <c r="A54" s="26"/>
      <c r="B54" s="26"/>
      <c r="C54" s="26"/>
      <c r="D54" s="28"/>
      <c r="E54" s="26"/>
      <c r="F54" s="26"/>
      <c r="G54" s="28"/>
      <c r="I54" s="25" t="str">
        <f aca="false">IF($A54="","","INSERT INTO Comentarios (ID_Post, ID_Autor, Texto, DataComentario, Status_Moderacao, ID_Moderador, DataModeracao) SELECT "&amp;"(SELECT ID_Post FROM Posts WHERE URL_Post = '"&amp;SUBSTITUTE($A54,"'","''")&amp;"')"&amp;", "&amp;"(SELECT ID_Usuario FROM Usuario WHERE NomeUsuario = '"&amp;SUBSTITUTE($B54,"'","''")&amp;"')"&amp;", "&amp;"'"&amp;SUBSTITUTE($C54,"'","''")&amp;"'"&amp;", "&amp;IF($D54="","SYSDATETIME()","'"&amp;SUBSTITUTE($D54,"'","''")&amp;"'")&amp;", "&amp;IF($E54="","'Pendente'","'"&amp;SUBSTITUTE($E54,"'","''")&amp;"'")&amp;", "&amp;IF($F54="","NULL","(SELECT ID_Usuario FROM Usuario WHERE NomeUsuario = '"&amp;SUBSTITUTE($F54,"'","''")&amp;"')")&amp;", "&amp;IF($G54="","NULL","'"&amp;SUBSTITUTE($G54,"'","''")&amp;"'")&amp;" WHERE NOT EXISTS (SELECT 1 FROM Comentarios c JOIN Posts p ON p.ID_Post = c.ID_Post JOIN Usuario u ON u.ID_Usuario = c.ID_Autor WHERE p.URL_Post = "&amp;"'"&amp;SUBSTITUTE($A54,"'","''")&amp;"'"&amp;" AND u.NomeUsuario = "&amp;"'"&amp;SUBSTITUTE($B54,"'","''")&amp;"'"&amp;" AND c.Texto = "&amp;"'"&amp;SUBSTITUTE($C54,"'","''")&amp;"'"&amp;");")</f>
        <v/>
      </c>
    </row>
    <row r="55" customFormat="false" ht="15" hidden="false" customHeight="false" outlineLevel="0" collapsed="false">
      <c r="A55" s="26"/>
      <c r="B55" s="26"/>
      <c r="C55" s="26"/>
      <c r="D55" s="28"/>
      <c r="E55" s="26"/>
      <c r="F55" s="26"/>
      <c r="G55" s="28"/>
      <c r="I55" s="25" t="str">
        <f aca="false">IF($A55="","","INSERT INTO Comentarios (ID_Post, ID_Autor, Texto, DataComentario, Status_Moderacao, ID_Moderador, DataModeracao) SELECT "&amp;"(SELECT ID_Post FROM Posts WHERE URL_Post = '"&amp;SUBSTITUTE($A55,"'","''")&amp;"')"&amp;", "&amp;"(SELECT ID_Usuario FROM Usuario WHERE NomeUsuario = '"&amp;SUBSTITUTE($B55,"'","''")&amp;"')"&amp;", "&amp;"'"&amp;SUBSTITUTE($C55,"'","''")&amp;"'"&amp;", "&amp;IF($D55="","SYSDATETIME()","'"&amp;SUBSTITUTE($D55,"'","''")&amp;"'")&amp;", "&amp;IF($E55="","'Pendente'","'"&amp;SUBSTITUTE($E55,"'","''")&amp;"'")&amp;", "&amp;IF($F55="","NULL","(SELECT ID_Usuario FROM Usuario WHERE NomeUsuario = '"&amp;SUBSTITUTE($F55,"'","''")&amp;"')")&amp;", "&amp;IF($G55="","NULL","'"&amp;SUBSTITUTE($G55,"'","''")&amp;"'")&amp;" WHERE NOT EXISTS (SELECT 1 FROM Comentarios c JOIN Posts p ON p.ID_Post = c.ID_Post JOIN Usuario u ON u.ID_Usuario = c.ID_Autor WHERE p.URL_Post = "&amp;"'"&amp;SUBSTITUTE($A55,"'","''")&amp;"'"&amp;" AND u.NomeUsuario = "&amp;"'"&amp;SUBSTITUTE($B55,"'","''")&amp;"'"&amp;" AND c.Texto = "&amp;"'"&amp;SUBSTITUTE($C55,"'","''")&amp;"'"&amp;");")</f>
        <v/>
      </c>
    </row>
    <row r="56" customFormat="false" ht="15" hidden="false" customHeight="false" outlineLevel="0" collapsed="false">
      <c r="A56" s="26"/>
      <c r="B56" s="26"/>
      <c r="C56" s="26"/>
      <c r="D56" s="28"/>
      <c r="E56" s="26"/>
      <c r="F56" s="26"/>
      <c r="G56" s="28"/>
      <c r="I56" s="25" t="str">
        <f aca="false">IF($A56="","","INSERT INTO Comentarios (ID_Post, ID_Autor, Texto, DataComentario, Status_Moderacao, ID_Moderador, DataModeracao) SELECT "&amp;"(SELECT ID_Post FROM Posts WHERE URL_Post = '"&amp;SUBSTITUTE($A56,"'","''")&amp;"')"&amp;", "&amp;"(SELECT ID_Usuario FROM Usuario WHERE NomeUsuario = '"&amp;SUBSTITUTE($B56,"'","''")&amp;"')"&amp;", "&amp;"'"&amp;SUBSTITUTE($C56,"'","''")&amp;"'"&amp;", "&amp;IF($D56="","SYSDATETIME()","'"&amp;SUBSTITUTE($D56,"'","''")&amp;"'")&amp;", "&amp;IF($E56="","'Pendente'","'"&amp;SUBSTITUTE($E56,"'","''")&amp;"'")&amp;", "&amp;IF($F56="","NULL","(SELECT ID_Usuario FROM Usuario WHERE NomeUsuario = '"&amp;SUBSTITUTE($F56,"'","''")&amp;"')")&amp;", "&amp;IF($G56="","NULL","'"&amp;SUBSTITUTE($G56,"'","''")&amp;"'")&amp;" WHERE NOT EXISTS (SELECT 1 FROM Comentarios c JOIN Posts p ON p.ID_Post = c.ID_Post JOIN Usuario u ON u.ID_Usuario = c.ID_Autor WHERE p.URL_Post = "&amp;"'"&amp;SUBSTITUTE($A56,"'","''")&amp;"'"&amp;" AND u.NomeUsuario = "&amp;"'"&amp;SUBSTITUTE($B56,"'","''")&amp;"'"&amp;" AND c.Texto = "&amp;"'"&amp;SUBSTITUTE($C56,"'","''")&amp;"'"&amp;");")</f>
        <v/>
      </c>
    </row>
    <row r="57" customFormat="false" ht="15" hidden="false" customHeight="false" outlineLevel="0" collapsed="false">
      <c r="A57" s="26"/>
      <c r="B57" s="26"/>
      <c r="C57" s="26"/>
      <c r="D57" s="28"/>
      <c r="E57" s="26"/>
      <c r="F57" s="26"/>
      <c r="G57" s="28"/>
      <c r="I57" s="25" t="str">
        <f aca="false">IF($A57="","","INSERT INTO Comentarios (ID_Post, ID_Autor, Texto, DataComentario, Status_Moderacao, ID_Moderador, DataModeracao) SELECT "&amp;"(SELECT ID_Post FROM Posts WHERE URL_Post = '"&amp;SUBSTITUTE($A57,"'","''")&amp;"')"&amp;", "&amp;"(SELECT ID_Usuario FROM Usuario WHERE NomeUsuario = '"&amp;SUBSTITUTE($B57,"'","''")&amp;"')"&amp;", "&amp;"'"&amp;SUBSTITUTE($C57,"'","''")&amp;"'"&amp;", "&amp;IF($D57="","SYSDATETIME()","'"&amp;SUBSTITUTE($D57,"'","''")&amp;"'")&amp;", "&amp;IF($E57="","'Pendente'","'"&amp;SUBSTITUTE($E57,"'","''")&amp;"'")&amp;", "&amp;IF($F57="","NULL","(SELECT ID_Usuario FROM Usuario WHERE NomeUsuario = '"&amp;SUBSTITUTE($F57,"'","''")&amp;"')")&amp;", "&amp;IF($G57="","NULL","'"&amp;SUBSTITUTE($G57,"'","''")&amp;"'")&amp;" WHERE NOT EXISTS (SELECT 1 FROM Comentarios c JOIN Posts p ON p.ID_Post = c.ID_Post JOIN Usuario u ON u.ID_Usuario = c.ID_Autor WHERE p.URL_Post = "&amp;"'"&amp;SUBSTITUTE($A57,"'","''")&amp;"'"&amp;" AND u.NomeUsuario = "&amp;"'"&amp;SUBSTITUTE($B57,"'","''")&amp;"'"&amp;" AND c.Texto = "&amp;"'"&amp;SUBSTITUTE($C57,"'","''")&amp;"'"&amp;");")</f>
        <v/>
      </c>
    </row>
    <row r="58" customFormat="false" ht="15" hidden="false" customHeight="false" outlineLevel="0" collapsed="false">
      <c r="A58" s="26"/>
      <c r="B58" s="26"/>
      <c r="C58" s="26"/>
      <c r="D58" s="28"/>
      <c r="E58" s="26"/>
      <c r="F58" s="26"/>
      <c r="G58" s="28"/>
      <c r="I58" s="25" t="str">
        <f aca="false">IF($A58="","","INSERT INTO Comentarios (ID_Post, ID_Autor, Texto, DataComentario, Status_Moderacao, ID_Moderador, DataModeracao) SELECT "&amp;"(SELECT ID_Post FROM Posts WHERE URL_Post = '"&amp;SUBSTITUTE($A58,"'","''")&amp;"')"&amp;", "&amp;"(SELECT ID_Usuario FROM Usuario WHERE NomeUsuario = '"&amp;SUBSTITUTE($B58,"'","''")&amp;"')"&amp;", "&amp;"'"&amp;SUBSTITUTE($C58,"'","''")&amp;"'"&amp;", "&amp;IF($D58="","SYSDATETIME()","'"&amp;SUBSTITUTE($D58,"'","''")&amp;"'")&amp;", "&amp;IF($E58="","'Pendente'","'"&amp;SUBSTITUTE($E58,"'","''")&amp;"'")&amp;", "&amp;IF($F58="","NULL","(SELECT ID_Usuario FROM Usuario WHERE NomeUsuario = '"&amp;SUBSTITUTE($F58,"'","''")&amp;"')")&amp;", "&amp;IF($G58="","NULL","'"&amp;SUBSTITUTE($G58,"'","''")&amp;"'")&amp;" WHERE NOT EXISTS (SELECT 1 FROM Comentarios c JOIN Posts p ON p.ID_Post = c.ID_Post JOIN Usuario u ON u.ID_Usuario = c.ID_Autor WHERE p.URL_Post = "&amp;"'"&amp;SUBSTITUTE($A58,"'","''")&amp;"'"&amp;" AND u.NomeUsuario = "&amp;"'"&amp;SUBSTITUTE($B58,"'","''")&amp;"'"&amp;" AND c.Texto = "&amp;"'"&amp;SUBSTITUTE($C58,"'","''")&amp;"'"&amp;");")</f>
        <v/>
      </c>
    </row>
    <row r="59" customFormat="false" ht="15" hidden="false" customHeight="false" outlineLevel="0" collapsed="false">
      <c r="A59" s="26"/>
      <c r="B59" s="26"/>
      <c r="C59" s="26"/>
      <c r="D59" s="28"/>
      <c r="E59" s="26"/>
      <c r="F59" s="26"/>
      <c r="G59" s="28"/>
      <c r="I59" s="25" t="str">
        <f aca="false">IF($A59="","","INSERT INTO Comentarios (ID_Post, ID_Autor, Texto, DataComentario, Status_Moderacao, ID_Moderador, DataModeracao) SELECT "&amp;"(SELECT ID_Post FROM Posts WHERE URL_Post = '"&amp;SUBSTITUTE($A59,"'","''")&amp;"')"&amp;", "&amp;"(SELECT ID_Usuario FROM Usuario WHERE NomeUsuario = '"&amp;SUBSTITUTE($B59,"'","''")&amp;"')"&amp;", "&amp;"'"&amp;SUBSTITUTE($C59,"'","''")&amp;"'"&amp;", "&amp;IF($D59="","SYSDATETIME()","'"&amp;SUBSTITUTE($D59,"'","''")&amp;"'")&amp;", "&amp;IF($E59="","'Pendente'","'"&amp;SUBSTITUTE($E59,"'","''")&amp;"'")&amp;", "&amp;IF($F59="","NULL","(SELECT ID_Usuario FROM Usuario WHERE NomeUsuario = '"&amp;SUBSTITUTE($F59,"'","''")&amp;"')")&amp;", "&amp;IF($G59="","NULL","'"&amp;SUBSTITUTE($G59,"'","''")&amp;"'")&amp;" WHERE NOT EXISTS (SELECT 1 FROM Comentarios c JOIN Posts p ON p.ID_Post = c.ID_Post JOIN Usuario u ON u.ID_Usuario = c.ID_Autor WHERE p.URL_Post = "&amp;"'"&amp;SUBSTITUTE($A59,"'","''")&amp;"'"&amp;" AND u.NomeUsuario = "&amp;"'"&amp;SUBSTITUTE($B59,"'","''")&amp;"'"&amp;" AND c.Texto = "&amp;"'"&amp;SUBSTITUTE($C59,"'","''")&amp;"'"&amp;");")</f>
        <v/>
      </c>
    </row>
    <row r="60" customFormat="false" ht="15" hidden="false" customHeight="false" outlineLevel="0" collapsed="false">
      <c r="A60" s="26"/>
      <c r="B60" s="26"/>
      <c r="C60" s="26"/>
      <c r="D60" s="28"/>
      <c r="E60" s="26"/>
      <c r="F60" s="26"/>
      <c r="G60" s="28"/>
      <c r="I60" s="25" t="str">
        <f aca="false">IF($A60="","","INSERT INTO Comentarios (ID_Post, ID_Autor, Texto, DataComentario, Status_Moderacao, ID_Moderador, DataModeracao) SELECT "&amp;"(SELECT ID_Post FROM Posts WHERE URL_Post = '"&amp;SUBSTITUTE($A60,"'","''")&amp;"')"&amp;", "&amp;"(SELECT ID_Usuario FROM Usuario WHERE NomeUsuario = '"&amp;SUBSTITUTE($B60,"'","''")&amp;"')"&amp;", "&amp;"'"&amp;SUBSTITUTE($C60,"'","''")&amp;"'"&amp;", "&amp;IF($D60="","SYSDATETIME()","'"&amp;SUBSTITUTE($D60,"'","''")&amp;"'")&amp;", "&amp;IF($E60="","'Pendente'","'"&amp;SUBSTITUTE($E60,"'","''")&amp;"'")&amp;", "&amp;IF($F60="","NULL","(SELECT ID_Usuario FROM Usuario WHERE NomeUsuario = '"&amp;SUBSTITUTE($F60,"'","''")&amp;"')")&amp;", "&amp;IF($G60="","NULL","'"&amp;SUBSTITUTE($G60,"'","''")&amp;"'")&amp;" WHERE NOT EXISTS (SELECT 1 FROM Comentarios c JOIN Posts p ON p.ID_Post = c.ID_Post JOIN Usuario u ON u.ID_Usuario = c.ID_Autor WHERE p.URL_Post = "&amp;"'"&amp;SUBSTITUTE($A60,"'","''")&amp;"'"&amp;" AND u.NomeUsuario = "&amp;"'"&amp;SUBSTITUTE($B60,"'","''")&amp;"'"&amp;" AND c.Texto = "&amp;"'"&amp;SUBSTITUTE($C60,"'","''")&amp;"'"&amp;");")</f>
        <v/>
      </c>
    </row>
    <row r="61" customFormat="false" ht="15" hidden="false" customHeight="false" outlineLevel="0" collapsed="false">
      <c r="A61" s="26"/>
      <c r="B61" s="26"/>
      <c r="C61" s="26"/>
      <c r="D61" s="28"/>
      <c r="E61" s="26"/>
      <c r="F61" s="26"/>
      <c r="G61" s="28"/>
      <c r="I61" s="25" t="str">
        <f aca="false">IF($A61="","","INSERT INTO Comentarios (ID_Post, ID_Autor, Texto, DataComentario, Status_Moderacao, ID_Moderador, DataModeracao) SELECT "&amp;"(SELECT ID_Post FROM Posts WHERE URL_Post = '"&amp;SUBSTITUTE($A61,"'","''")&amp;"')"&amp;", "&amp;"(SELECT ID_Usuario FROM Usuario WHERE NomeUsuario = '"&amp;SUBSTITUTE($B61,"'","''")&amp;"')"&amp;", "&amp;"'"&amp;SUBSTITUTE($C61,"'","''")&amp;"'"&amp;", "&amp;IF($D61="","SYSDATETIME()","'"&amp;SUBSTITUTE($D61,"'","''")&amp;"'")&amp;", "&amp;IF($E61="","'Pendente'","'"&amp;SUBSTITUTE($E61,"'","''")&amp;"'")&amp;", "&amp;IF($F61="","NULL","(SELECT ID_Usuario FROM Usuario WHERE NomeUsuario = '"&amp;SUBSTITUTE($F61,"'","''")&amp;"')")&amp;", "&amp;IF($G61="","NULL","'"&amp;SUBSTITUTE($G61,"'","''")&amp;"'")&amp;" WHERE NOT EXISTS (SELECT 1 FROM Comentarios c JOIN Posts p ON p.ID_Post = c.ID_Post JOIN Usuario u ON u.ID_Usuario = c.ID_Autor WHERE p.URL_Post = "&amp;"'"&amp;SUBSTITUTE($A61,"'","''")&amp;"'"&amp;" AND u.NomeUsuario = "&amp;"'"&amp;SUBSTITUTE($B61,"'","''")&amp;"'"&amp;" AND c.Texto = "&amp;"'"&amp;SUBSTITUTE($C61,"'","''")&amp;"'"&amp;");")</f>
        <v/>
      </c>
    </row>
    <row r="62" customFormat="false" ht="15" hidden="false" customHeight="false" outlineLevel="0" collapsed="false">
      <c r="A62" s="26"/>
      <c r="B62" s="26"/>
      <c r="C62" s="26"/>
      <c r="D62" s="28"/>
      <c r="E62" s="26"/>
      <c r="F62" s="26"/>
      <c r="G62" s="28"/>
      <c r="I62" s="25" t="str">
        <f aca="false">IF($A62="","","INSERT INTO Comentarios (ID_Post, ID_Autor, Texto, DataComentario, Status_Moderacao, ID_Moderador, DataModeracao) SELECT "&amp;"(SELECT ID_Post FROM Posts WHERE URL_Post = '"&amp;SUBSTITUTE($A62,"'","''")&amp;"')"&amp;", "&amp;"(SELECT ID_Usuario FROM Usuario WHERE NomeUsuario = '"&amp;SUBSTITUTE($B62,"'","''")&amp;"')"&amp;", "&amp;"'"&amp;SUBSTITUTE($C62,"'","''")&amp;"'"&amp;", "&amp;IF($D62="","SYSDATETIME()","'"&amp;SUBSTITUTE($D62,"'","''")&amp;"'")&amp;", "&amp;IF($E62="","'Pendente'","'"&amp;SUBSTITUTE($E62,"'","''")&amp;"'")&amp;", "&amp;IF($F62="","NULL","(SELECT ID_Usuario FROM Usuario WHERE NomeUsuario = '"&amp;SUBSTITUTE($F62,"'","''")&amp;"')")&amp;", "&amp;IF($G62="","NULL","'"&amp;SUBSTITUTE($G62,"'","''")&amp;"'")&amp;" WHERE NOT EXISTS (SELECT 1 FROM Comentarios c JOIN Posts p ON p.ID_Post = c.ID_Post JOIN Usuario u ON u.ID_Usuario = c.ID_Autor WHERE p.URL_Post = "&amp;"'"&amp;SUBSTITUTE($A62,"'","''")&amp;"'"&amp;" AND u.NomeUsuario = "&amp;"'"&amp;SUBSTITUTE($B62,"'","''")&amp;"'"&amp;" AND c.Texto = "&amp;"'"&amp;SUBSTITUTE($C62,"'","''")&amp;"'"&amp;");")</f>
        <v/>
      </c>
    </row>
    <row r="63" customFormat="false" ht="15" hidden="false" customHeight="false" outlineLevel="0" collapsed="false">
      <c r="A63" s="26"/>
      <c r="B63" s="26"/>
      <c r="C63" s="26"/>
      <c r="D63" s="28"/>
      <c r="E63" s="26"/>
      <c r="F63" s="26"/>
      <c r="G63" s="28"/>
      <c r="I63" s="25" t="str">
        <f aca="false">IF($A63="","","INSERT INTO Comentarios (ID_Post, ID_Autor, Texto, DataComentario, Status_Moderacao, ID_Moderador, DataModeracao) SELECT "&amp;"(SELECT ID_Post FROM Posts WHERE URL_Post = '"&amp;SUBSTITUTE($A63,"'","''")&amp;"')"&amp;", "&amp;"(SELECT ID_Usuario FROM Usuario WHERE NomeUsuario = '"&amp;SUBSTITUTE($B63,"'","''")&amp;"')"&amp;", "&amp;"'"&amp;SUBSTITUTE($C63,"'","''")&amp;"'"&amp;", "&amp;IF($D63="","SYSDATETIME()","'"&amp;SUBSTITUTE($D63,"'","''")&amp;"'")&amp;", "&amp;IF($E63="","'Pendente'","'"&amp;SUBSTITUTE($E63,"'","''")&amp;"'")&amp;", "&amp;IF($F63="","NULL","(SELECT ID_Usuario FROM Usuario WHERE NomeUsuario = '"&amp;SUBSTITUTE($F63,"'","''")&amp;"')")&amp;", "&amp;IF($G63="","NULL","'"&amp;SUBSTITUTE($G63,"'","''")&amp;"'")&amp;" WHERE NOT EXISTS (SELECT 1 FROM Comentarios c JOIN Posts p ON p.ID_Post = c.ID_Post JOIN Usuario u ON u.ID_Usuario = c.ID_Autor WHERE p.URL_Post = "&amp;"'"&amp;SUBSTITUTE($A63,"'","''")&amp;"'"&amp;" AND u.NomeUsuario = "&amp;"'"&amp;SUBSTITUTE($B63,"'","''")&amp;"'"&amp;" AND c.Texto = "&amp;"'"&amp;SUBSTITUTE($C63,"'","''")&amp;"'"&amp;");")</f>
        <v/>
      </c>
    </row>
    <row r="64" customFormat="false" ht="15" hidden="false" customHeight="false" outlineLevel="0" collapsed="false">
      <c r="A64" s="26"/>
      <c r="B64" s="26"/>
      <c r="C64" s="26"/>
      <c r="D64" s="28"/>
      <c r="E64" s="26"/>
      <c r="F64" s="26"/>
      <c r="G64" s="28"/>
      <c r="I64" s="25" t="str">
        <f aca="false">IF($A64="","","INSERT INTO Comentarios (ID_Post, ID_Autor, Texto, DataComentario, Status_Moderacao, ID_Moderador, DataModeracao) SELECT "&amp;"(SELECT ID_Post FROM Posts WHERE URL_Post = '"&amp;SUBSTITUTE($A64,"'","''")&amp;"')"&amp;", "&amp;"(SELECT ID_Usuario FROM Usuario WHERE NomeUsuario = '"&amp;SUBSTITUTE($B64,"'","''")&amp;"')"&amp;", "&amp;"'"&amp;SUBSTITUTE($C64,"'","''")&amp;"'"&amp;", "&amp;IF($D64="","SYSDATETIME()","'"&amp;SUBSTITUTE($D64,"'","''")&amp;"'")&amp;", "&amp;IF($E64="","'Pendente'","'"&amp;SUBSTITUTE($E64,"'","''")&amp;"'")&amp;", "&amp;IF($F64="","NULL","(SELECT ID_Usuario FROM Usuario WHERE NomeUsuario = '"&amp;SUBSTITUTE($F64,"'","''")&amp;"')")&amp;", "&amp;IF($G64="","NULL","'"&amp;SUBSTITUTE($G64,"'","''")&amp;"'")&amp;" WHERE NOT EXISTS (SELECT 1 FROM Comentarios c JOIN Posts p ON p.ID_Post = c.ID_Post JOIN Usuario u ON u.ID_Usuario = c.ID_Autor WHERE p.URL_Post = "&amp;"'"&amp;SUBSTITUTE($A64,"'","''")&amp;"'"&amp;" AND u.NomeUsuario = "&amp;"'"&amp;SUBSTITUTE($B64,"'","''")&amp;"'"&amp;" AND c.Texto = "&amp;"'"&amp;SUBSTITUTE($C64,"'","''")&amp;"'"&amp;");")</f>
        <v/>
      </c>
    </row>
    <row r="65" customFormat="false" ht="15" hidden="false" customHeight="false" outlineLevel="0" collapsed="false">
      <c r="A65" s="26"/>
      <c r="B65" s="26"/>
      <c r="C65" s="26"/>
      <c r="D65" s="28"/>
      <c r="E65" s="26"/>
      <c r="F65" s="26"/>
      <c r="G65" s="28"/>
      <c r="I65" s="25" t="str">
        <f aca="false">IF($A65="","","INSERT INTO Comentarios (ID_Post, ID_Autor, Texto, DataComentario, Status_Moderacao, ID_Moderador, DataModeracao) SELECT "&amp;"(SELECT ID_Post FROM Posts WHERE URL_Post = '"&amp;SUBSTITUTE($A65,"'","''")&amp;"')"&amp;", "&amp;"(SELECT ID_Usuario FROM Usuario WHERE NomeUsuario = '"&amp;SUBSTITUTE($B65,"'","''")&amp;"')"&amp;", "&amp;"'"&amp;SUBSTITUTE($C65,"'","''")&amp;"'"&amp;", "&amp;IF($D65="","SYSDATETIME()","'"&amp;SUBSTITUTE($D65,"'","''")&amp;"'")&amp;", "&amp;IF($E65="","'Pendente'","'"&amp;SUBSTITUTE($E65,"'","''")&amp;"'")&amp;", "&amp;IF($F65="","NULL","(SELECT ID_Usuario FROM Usuario WHERE NomeUsuario = '"&amp;SUBSTITUTE($F65,"'","''")&amp;"')")&amp;", "&amp;IF($G65="","NULL","'"&amp;SUBSTITUTE($G65,"'","''")&amp;"'")&amp;" WHERE NOT EXISTS (SELECT 1 FROM Comentarios c JOIN Posts p ON p.ID_Post = c.ID_Post JOIN Usuario u ON u.ID_Usuario = c.ID_Autor WHERE p.URL_Post = "&amp;"'"&amp;SUBSTITUTE($A65,"'","''")&amp;"'"&amp;" AND u.NomeUsuario = "&amp;"'"&amp;SUBSTITUTE($B65,"'","''")&amp;"'"&amp;" AND c.Texto = "&amp;"'"&amp;SUBSTITUTE($C65,"'","''")&amp;"'"&amp;");")</f>
        <v/>
      </c>
    </row>
    <row r="66" customFormat="false" ht="15" hidden="false" customHeight="false" outlineLevel="0" collapsed="false">
      <c r="A66" s="26"/>
      <c r="B66" s="26"/>
      <c r="C66" s="26"/>
      <c r="D66" s="28"/>
      <c r="E66" s="26"/>
      <c r="F66" s="26"/>
      <c r="G66" s="28"/>
      <c r="I66" s="25" t="str">
        <f aca="false">IF($A66="","","INSERT INTO Comentarios (ID_Post, ID_Autor, Texto, DataComentario, Status_Moderacao, ID_Moderador, DataModeracao) SELECT "&amp;"(SELECT ID_Post FROM Posts WHERE URL_Post = '"&amp;SUBSTITUTE($A66,"'","''")&amp;"')"&amp;", "&amp;"(SELECT ID_Usuario FROM Usuario WHERE NomeUsuario = '"&amp;SUBSTITUTE($B66,"'","''")&amp;"')"&amp;", "&amp;"'"&amp;SUBSTITUTE($C66,"'","''")&amp;"'"&amp;", "&amp;IF($D66="","SYSDATETIME()","'"&amp;SUBSTITUTE($D66,"'","''")&amp;"'")&amp;", "&amp;IF($E66="","'Pendente'","'"&amp;SUBSTITUTE($E66,"'","''")&amp;"'")&amp;", "&amp;IF($F66="","NULL","(SELECT ID_Usuario FROM Usuario WHERE NomeUsuario = '"&amp;SUBSTITUTE($F66,"'","''")&amp;"')")&amp;", "&amp;IF($G66="","NULL","'"&amp;SUBSTITUTE($G66,"'","''")&amp;"'")&amp;" WHERE NOT EXISTS (SELECT 1 FROM Comentarios c JOIN Posts p ON p.ID_Post = c.ID_Post JOIN Usuario u ON u.ID_Usuario = c.ID_Autor WHERE p.URL_Post = "&amp;"'"&amp;SUBSTITUTE($A66,"'","''")&amp;"'"&amp;" AND u.NomeUsuario = "&amp;"'"&amp;SUBSTITUTE($B66,"'","''")&amp;"'"&amp;" AND c.Texto = "&amp;"'"&amp;SUBSTITUTE($C66,"'","''")&amp;"'"&amp;");")</f>
        <v/>
      </c>
    </row>
    <row r="67" customFormat="false" ht="15" hidden="false" customHeight="false" outlineLevel="0" collapsed="false">
      <c r="A67" s="26"/>
      <c r="B67" s="26"/>
      <c r="C67" s="26"/>
      <c r="D67" s="28"/>
      <c r="E67" s="26"/>
      <c r="F67" s="26"/>
      <c r="G67" s="28"/>
      <c r="I67" s="25" t="str">
        <f aca="false">IF($A67="","","INSERT INTO Comentarios (ID_Post, ID_Autor, Texto, DataComentario, Status_Moderacao, ID_Moderador, DataModeracao) SELECT "&amp;"(SELECT ID_Post FROM Posts WHERE URL_Post = '"&amp;SUBSTITUTE($A67,"'","''")&amp;"')"&amp;", "&amp;"(SELECT ID_Usuario FROM Usuario WHERE NomeUsuario = '"&amp;SUBSTITUTE($B67,"'","''")&amp;"')"&amp;", "&amp;"'"&amp;SUBSTITUTE($C67,"'","''")&amp;"'"&amp;", "&amp;IF($D67="","SYSDATETIME()","'"&amp;SUBSTITUTE($D67,"'","''")&amp;"'")&amp;", "&amp;IF($E67="","'Pendente'","'"&amp;SUBSTITUTE($E67,"'","''")&amp;"'")&amp;", "&amp;IF($F67="","NULL","(SELECT ID_Usuario FROM Usuario WHERE NomeUsuario = '"&amp;SUBSTITUTE($F67,"'","''")&amp;"')")&amp;", "&amp;IF($G67="","NULL","'"&amp;SUBSTITUTE($G67,"'","''")&amp;"'")&amp;" WHERE NOT EXISTS (SELECT 1 FROM Comentarios c JOIN Posts p ON p.ID_Post = c.ID_Post JOIN Usuario u ON u.ID_Usuario = c.ID_Autor WHERE p.URL_Post = "&amp;"'"&amp;SUBSTITUTE($A67,"'","''")&amp;"'"&amp;" AND u.NomeUsuario = "&amp;"'"&amp;SUBSTITUTE($B67,"'","''")&amp;"'"&amp;" AND c.Texto = "&amp;"'"&amp;SUBSTITUTE($C67,"'","''")&amp;"'"&amp;");")</f>
        <v/>
      </c>
    </row>
    <row r="68" customFormat="false" ht="15" hidden="false" customHeight="false" outlineLevel="0" collapsed="false">
      <c r="A68" s="26"/>
      <c r="B68" s="26"/>
      <c r="C68" s="26"/>
      <c r="D68" s="28"/>
      <c r="E68" s="26"/>
      <c r="F68" s="26"/>
      <c r="G68" s="28"/>
      <c r="I68" s="25" t="str">
        <f aca="false">IF($A68="","","INSERT INTO Comentarios (ID_Post, ID_Autor, Texto, DataComentario, Status_Moderacao, ID_Moderador, DataModeracao) SELECT "&amp;"(SELECT ID_Post FROM Posts WHERE URL_Post = '"&amp;SUBSTITUTE($A68,"'","''")&amp;"')"&amp;", "&amp;"(SELECT ID_Usuario FROM Usuario WHERE NomeUsuario = '"&amp;SUBSTITUTE($B68,"'","''")&amp;"')"&amp;", "&amp;"'"&amp;SUBSTITUTE($C68,"'","''")&amp;"'"&amp;", "&amp;IF($D68="","SYSDATETIME()","'"&amp;SUBSTITUTE($D68,"'","''")&amp;"'")&amp;", "&amp;IF($E68="","'Pendente'","'"&amp;SUBSTITUTE($E68,"'","''")&amp;"'")&amp;", "&amp;IF($F68="","NULL","(SELECT ID_Usuario FROM Usuario WHERE NomeUsuario = '"&amp;SUBSTITUTE($F68,"'","''")&amp;"')")&amp;", "&amp;IF($G68="","NULL","'"&amp;SUBSTITUTE($G68,"'","''")&amp;"'")&amp;" WHERE NOT EXISTS (SELECT 1 FROM Comentarios c JOIN Posts p ON p.ID_Post = c.ID_Post JOIN Usuario u ON u.ID_Usuario = c.ID_Autor WHERE p.URL_Post = "&amp;"'"&amp;SUBSTITUTE($A68,"'","''")&amp;"'"&amp;" AND u.NomeUsuario = "&amp;"'"&amp;SUBSTITUTE($B68,"'","''")&amp;"'"&amp;" AND c.Texto = "&amp;"'"&amp;SUBSTITUTE($C68,"'","''")&amp;"'"&amp;");")</f>
        <v/>
      </c>
    </row>
    <row r="69" customFormat="false" ht="15" hidden="false" customHeight="false" outlineLevel="0" collapsed="false">
      <c r="A69" s="26"/>
      <c r="B69" s="26"/>
      <c r="C69" s="26"/>
      <c r="D69" s="28"/>
      <c r="E69" s="26"/>
      <c r="F69" s="26"/>
      <c r="G69" s="28"/>
      <c r="I69" s="25" t="str">
        <f aca="false">IF($A69="","","INSERT INTO Comentarios (ID_Post, ID_Autor, Texto, DataComentario, Status_Moderacao, ID_Moderador, DataModeracao) SELECT "&amp;"(SELECT ID_Post FROM Posts WHERE URL_Post = '"&amp;SUBSTITUTE($A69,"'","''")&amp;"')"&amp;", "&amp;"(SELECT ID_Usuario FROM Usuario WHERE NomeUsuario = '"&amp;SUBSTITUTE($B69,"'","''")&amp;"')"&amp;", "&amp;"'"&amp;SUBSTITUTE($C69,"'","''")&amp;"'"&amp;", "&amp;IF($D69="","SYSDATETIME()","'"&amp;SUBSTITUTE($D69,"'","''")&amp;"'")&amp;", "&amp;IF($E69="","'Pendente'","'"&amp;SUBSTITUTE($E69,"'","''")&amp;"'")&amp;", "&amp;IF($F69="","NULL","(SELECT ID_Usuario FROM Usuario WHERE NomeUsuario = '"&amp;SUBSTITUTE($F69,"'","''")&amp;"')")&amp;", "&amp;IF($G69="","NULL","'"&amp;SUBSTITUTE($G69,"'","''")&amp;"'")&amp;" WHERE NOT EXISTS (SELECT 1 FROM Comentarios c JOIN Posts p ON p.ID_Post = c.ID_Post JOIN Usuario u ON u.ID_Usuario = c.ID_Autor WHERE p.URL_Post = "&amp;"'"&amp;SUBSTITUTE($A69,"'","''")&amp;"'"&amp;" AND u.NomeUsuario = "&amp;"'"&amp;SUBSTITUTE($B69,"'","''")&amp;"'"&amp;" AND c.Texto = "&amp;"'"&amp;SUBSTITUTE($C69,"'","''")&amp;"'"&amp;");")</f>
        <v/>
      </c>
    </row>
    <row r="70" customFormat="false" ht="15" hidden="false" customHeight="false" outlineLevel="0" collapsed="false">
      <c r="A70" s="26"/>
      <c r="B70" s="26"/>
      <c r="C70" s="26"/>
      <c r="D70" s="28"/>
      <c r="E70" s="26"/>
      <c r="F70" s="26"/>
      <c r="G70" s="28"/>
      <c r="I70" s="25" t="str">
        <f aca="false">IF($A70="","","INSERT INTO Comentarios (ID_Post, ID_Autor, Texto, DataComentario, Status_Moderacao, ID_Moderador, DataModeracao) SELECT "&amp;"(SELECT ID_Post FROM Posts WHERE URL_Post = '"&amp;SUBSTITUTE($A70,"'","''")&amp;"')"&amp;", "&amp;"(SELECT ID_Usuario FROM Usuario WHERE NomeUsuario = '"&amp;SUBSTITUTE($B70,"'","''")&amp;"')"&amp;", "&amp;"'"&amp;SUBSTITUTE($C70,"'","''")&amp;"'"&amp;", "&amp;IF($D70="","SYSDATETIME()","'"&amp;SUBSTITUTE($D70,"'","''")&amp;"'")&amp;", "&amp;IF($E70="","'Pendente'","'"&amp;SUBSTITUTE($E70,"'","''")&amp;"'")&amp;", "&amp;IF($F70="","NULL","(SELECT ID_Usuario FROM Usuario WHERE NomeUsuario = '"&amp;SUBSTITUTE($F70,"'","''")&amp;"')")&amp;", "&amp;IF($G70="","NULL","'"&amp;SUBSTITUTE($G70,"'","''")&amp;"'")&amp;" WHERE NOT EXISTS (SELECT 1 FROM Comentarios c JOIN Posts p ON p.ID_Post = c.ID_Post JOIN Usuario u ON u.ID_Usuario = c.ID_Autor WHERE p.URL_Post = "&amp;"'"&amp;SUBSTITUTE($A70,"'","''")&amp;"'"&amp;" AND u.NomeUsuario = "&amp;"'"&amp;SUBSTITUTE($B70,"'","''")&amp;"'"&amp;" AND c.Texto = "&amp;"'"&amp;SUBSTITUTE($C70,"'","''")&amp;"'"&amp;");")</f>
        <v/>
      </c>
    </row>
    <row r="71" customFormat="false" ht="15" hidden="false" customHeight="false" outlineLevel="0" collapsed="false">
      <c r="A71" s="26"/>
      <c r="B71" s="26"/>
      <c r="C71" s="26"/>
      <c r="D71" s="28"/>
      <c r="E71" s="26"/>
      <c r="F71" s="26"/>
      <c r="G71" s="28"/>
      <c r="I71" s="25" t="str">
        <f aca="false">IF($A71="","","INSERT INTO Comentarios (ID_Post, ID_Autor, Texto, DataComentario, Status_Moderacao, ID_Moderador, DataModeracao) SELECT "&amp;"(SELECT ID_Post FROM Posts WHERE URL_Post = '"&amp;SUBSTITUTE($A71,"'","''")&amp;"')"&amp;", "&amp;"(SELECT ID_Usuario FROM Usuario WHERE NomeUsuario = '"&amp;SUBSTITUTE($B71,"'","''")&amp;"')"&amp;", "&amp;"'"&amp;SUBSTITUTE($C71,"'","''")&amp;"'"&amp;", "&amp;IF($D71="","SYSDATETIME()","'"&amp;SUBSTITUTE($D71,"'","''")&amp;"'")&amp;", "&amp;IF($E71="","'Pendente'","'"&amp;SUBSTITUTE($E71,"'","''")&amp;"'")&amp;", "&amp;IF($F71="","NULL","(SELECT ID_Usuario FROM Usuario WHERE NomeUsuario = '"&amp;SUBSTITUTE($F71,"'","''")&amp;"')")&amp;", "&amp;IF($G71="","NULL","'"&amp;SUBSTITUTE($G71,"'","''")&amp;"'")&amp;" WHERE NOT EXISTS (SELECT 1 FROM Comentarios c JOIN Posts p ON p.ID_Post = c.ID_Post JOIN Usuario u ON u.ID_Usuario = c.ID_Autor WHERE p.URL_Post = "&amp;"'"&amp;SUBSTITUTE($A71,"'","''")&amp;"'"&amp;" AND u.NomeUsuario = "&amp;"'"&amp;SUBSTITUTE($B71,"'","''")&amp;"'"&amp;" AND c.Texto = "&amp;"'"&amp;SUBSTITUTE($C71,"'","''")&amp;"'"&amp;");")</f>
        <v/>
      </c>
    </row>
    <row r="72" customFormat="false" ht="15" hidden="false" customHeight="false" outlineLevel="0" collapsed="false">
      <c r="A72" s="26"/>
      <c r="B72" s="26"/>
      <c r="C72" s="26"/>
      <c r="D72" s="28"/>
      <c r="E72" s="26"/>
      <c r="F72" s="26"/>
      <c r="G72" s="28"/>
      <c r="I72" s="25" t="str">
        <f aca="false">IF($A72="","","INSERT INTO Comentarios (ID_Post, ID_Autor, Texto, DataComentario, Status_Moderacao, ID_Moderador, DataModeracao) SELECT "&amp;"(SELECT ID_Post FROM Posts WHERE URL_Post = '"&amp;SUBSTITUTE($A72,"'","''")&amp;"')"&amp;", "&amp;"(SELECT ID_Usuario FROM Usuario WHERE NomeUsuario = '"&amp;SUBSTITUTE($B72,"'","''")&amp;"')"&amp;", "&amp;"'"&amp;SUBSTITUTE($C72,"'","''")&amp;"'"&amp;", "&amp;IF($D72="","SYSDATETIME()","'"&amp;SUBSTITUTE($D72,"'","''")&amp;"'")&amp;", "&amp;IF($E72="","'Pendente'","'"&amp;SUBSTITUTE($E72,"'","''")&amp;"'")&amp;", "&amp;IF($F72="","NULL","(SELECT ID_Usuario FROM Usuario WHERE NomeUsuario = '"&amp;SUBSTITUTE($F72,"'","''")&amp;"')")&amp;", "&amp;IF($G72="","NULL","'"&amp;SUBSTITUTE($G72,"'","''")&amp;"'")&amp;" WHERE NOT EXISTS (SELECT 1 FROM Comentarios c JOIN Posts p ON p.ID_Post = c.ID_Post JOIN Usuario u ON u.ID_Usuario = c.ID_Autor WHERE p.URL_Post = "&amp;"'"&amp;SUBSTITUTE($A72,"'","''")&amp;"'"&amp;" AND u.NomeUsuario = "&amp;"'"&amp;SUBSTITUTE($B72,"'","''")&amp;"'"&amp;" AND c.Texto = "&amp;"'"&amp;SUBSTITUTE($C72,"'","''")&amp;"'"&amp;");")</f>
        <v/>
      </c>
    </row>
    <row r="73" customFormat="false" ht="15" hidden="false" customHeight="false" outlineLevel="0" collapsed="false">
      <c r="A73" s="26"/>
      <c r="B73" s="26"/>
      <c r="C73" s="26"/>
      <c r="D73" s="28"/>
      <c r="E73" s="26"/>
      <c r="F73" s="26"/>
      <c r="G73" s="28"/>
      <c r="I73" s="25" t="str">
        <f aca="false">IF($A73="","","INSERT INTO Comentarios (ID_Post, ID_Autor, Texto, DataComentario, Status_Moderacao, ID_Moderador, DataModeracao) SELECT "&amp;"(SELECT ID_Post FROM Posts WHERE URL_Post = '"&amp;SUBSTITUTE($A73,"'","''")&amp;"')"&amp;", "&amp;"(SELECT ID_Usuario FROM Usuario WHERE NomeUsuario = '"&amp;SUBSTITUTE($B73,"'","''")&amp;"')"&amp;", "&amp;"'"&amp;SUBSTITUTE($C73,"'","''")&amp;"'"&amp;", "&amp;IF($D73="","SYSDATETIME()","'"&amp;SUBSTITUTE($D73,"'","''")&amp;"'")&amp;", "&amp;IF($E73="","'Pendente'","'"&amp;SUBSTITUTE($E73,"'","''")&amp;"'")&amp;", "&amp;IF($F73="","NULL","(SELECT ID_Usuario FROM Usuario WHERE NomeUsuario = '"&amp;SUBSTITUTE($F73,"'","''")&amp;"')")&amp;", "&amp;IF($G73="","NULL","'"&amp;SUBSTITUTE($G73,"'","''")&amp;"'")&amp;" WHERE NOT EXISTS (SELECT 1 FROM Comentarios c JOIN Posts p ON p.ID_Post = c.ID_Post JOIN Usuario u ON u.ID_Usuario = c.ID_Autor WHERE p.URL_Post = "&amp;"'"&amp;SUBSTITUTE($A73,"'","''")&amp;"'"&amp;" AND u.NomeUsuario = "&amp;"'"&amp;SUBSTITUTE($B73,"'","''")&amp;"'"&amp;" AND c.Texto = "&amp;"'"&amp;SUBSTITUTE($C73,"'","''")&amp;"'"&amp;");")</f>
        <v/>
      </c>
    </row>
    <row r="74" customFormat="false" ht="15" hidden="false" customHeight="false" outlineLevel="0" collapsed="false">
      <c r="A74" s="26"/>
      <c r="B74" s="26"/>
      <c r="C74" s="26"/>
      <c r="D74" s="28"/>
      <c r="E74" s="26"/>
      <c r="F74" s="26"/>
      <c r="G74" s="28"/>
      <c r="I74" s="25" t="str">
        <f aca="false">IF($A74="","","INSERT INTO Comentarios (ID_Post, ID_Autor, Texto, DataComentario, Status_Moderacao, ID_Moderador, DataModeracao) SELECT "&amp;"(SELECT ID_Post FROM Posts WHERE URL_Post = '"&amp;SUBSTITUTE($A74,"'","''")&amp;"')"&amp;", "&amp;"(SELECT ID_Usuario FROM Usuario WHERE NomeUsuario = '"&amp;SUBSTITUTE($B74,"'","''")&amp;"')"&amp;", "&amp;"'"&amp;SUBSTITUTE($C74,"'","''")&amp;"'"&amp;", "&amp;IF($D74="","SYSDATETIME()","'"&amp;SUBSTITUTE($D74,"'","''")&amp;"'")&amp;", "&amp;IF($E74="","'Pendente'","'"&amp;SUBSTITUTE($E74,"'","''")&amp;"'")&amp;", "&amp;IF($F74="","NULL","(SELECT ID_Usuario FROM Usuario WHERE NomeUsuario = '"&amp;SUBSTITUTE($F74,"'","''")&amp;"')")&amp;", "&amp;IF($G74="","NULL","'"&amp;SUBSTITUTE($G74,"'","''")&amp;"'")&amp;" WHERE NOT EXISTS (SELECT 1 FROM Comentarios c JOIN Posts p ON p.ID_Post = c.ID_Post JOIN Usuario u ON u.ID_Usuario = c.ID_Autor WHERE p.URL_Post = "&amp;"'"&amp;SUBSTITUTE($A74,"'","''")&amp;"'"&amp;" AND u.NomeUsuario = "&amp;"'"&amp;SUBSTITUTE($B74,"'","''")&amp;"'"&amp;" AND c.Texto = "&amp;"'"&amp;SUBSTITUTE($C74,"'","''")&amp;"'"&amp;");")</f>
        <v/>
      </c>
    </row>
    <row r="75" customFormat="false" ht="15" hidden="false" customHeight="false" outlineLevel="0" collapsed="false">
      <c r="A75" s="26"/>
      <c r="B75" s="26"/>
      <c r="C75" s="26"/>
      <c r="D75" s="28"/>
      <c r="E75" s="26"/>
      <c r="F75" s="26"/>
      <c r="G75" s="28"/>
      <c r="I75" s="25" t="str">
        <f aca="false">IF($A75="","","INSERT INTO Comentarios (ID_Post, ID_Autor, Texto, DataComentario, Status_Moderacao, ID_Moderador, DataModeracao) SELECT "&amp;"(SELECT ID_Post FROM Posts WHERE URL_Post = '"&amp;SUBSTITUTE($A75,"'","''")&amp;"')"&amp;", "&amp;"(SELECT ID_Usuario FROM Usuario WHERE NomeUsuario = '"&amp;SUBSTITUTE($B75,"'","''")&amp;"')"&amp;", "&amp;"'"&amp;SUBSTITUTE($C75,"'","''")&amp;"'"&amp;", "&amp;IF($D75="","SYSDATETIME()","'"&amp;SUBSTITUTE($D75,"'","''")&amp;"'")&amp;", "&amp;IF($E75="","'Pendente'","'"&amp;SUBSTITUTE($E75,"'","''")&amp;"'")&amp;", "&amp;IF($F75="","NULL","(SELECT ID_Usuario FROM Usuario WHERE NomeUsuario = '"&amp;SUBSTITUTE($F75,"'","''")&amp;"')")&amp;", "&amp;IF($G75="","NULL","'"&amp;SUBSTITUTE($G75,"'","''")&amp;"'")&amp;" WHERE NOT EXISTS (SELECT 1 FROM Comentarios c JOIN Posts p ON p.ID_Post = c.ID_Post JOIN Usuario u ON u.ID_Usuario = c.ID_Autor WHERE p.URL_Post = "&amp;"'"&amp;SUBSTITUTE($A75,"'","''")&amp;"'"&amp;" AND u.NomeUsuario = "&amp;"'"&amp;SUBSTITUTE($B75,"'","''")&amp;"'"&amp;" AND c.Texto = "&amp;"'"&amp;SUBSTITUTE($C75,"'","''")&amp;"'"&amp;");")</f>
        <v/>
      </c>
    </row>
    <row r="76" customFormat="false" ht="15" hidden="false" customHeight="false" outlineLevel="0" collapsed="false">
      <c r="A76" s="26"/>
      <c r="B76" s="26"/>
      <c r="C76" s="26"/>
      <c r="D76" s="28"/>
      <c r="E76" s="26"/>
      <c r="F76" s="26"/>
      <c r="G76" s="28"/>
      <c r="I76" s="25" t="str">
        <f aca="false">IF($A76="","","INSERT INTO Comentarios (ID_Post, ID_Autor, Texto, DataComentario, Status_Moderacao, ID_Moderador, DataModeracao) SELECT "&amp;"(SELECT ID_Post FROM Posts WHERE URL_Post = '"&amp;SUBSTITUTE($A76,"'","''")&amp;"')"&amp;", "&amp;"(SELECT ID_Usuario FROM Usuario WHERE NomeUsuario = '"&amp;SUBSTITUTE($B76,"'","''")&amp;"')"&amp;", "&amp;"'"&amp;SUBSTITUTE($C76,"'","''")&amp;"'"&amp;", "&amp;IF($D76="","SYSDATETIME()","'"&amp;SUBSTITUTE($D76,"'","''")&amp;"'")&amp;", "&amp;IF($E76="","'Pendente'","'"&amp;SUBSTITUTE($E76,"'","''")&amp;"'")&amp;", "&amp;IF($F76="","NULL","(SELECT ID_Usuario FROM Usuario WHERE NomeUsuario = '"&amp;SUBSTITUTE($F76,"'","''")&amp;"')")&amp;", "&amp;IF($G76="","NULL","'"&amp;SUBSTITUTE($G76,"'","''")&amp;"'")&amp;" WHERE NOT EXISTS (SELECT 1 FROM Comentarios c JOIN Posts p ON p.ID_Post = c.ID_Post JOIN Usuario u ON u.ID_Usuario = c.ID_Autor WHERE p.URL_Post = "&amp;"'"&amp;SUBSTITUTE($A76,"'","''")&amp;"'"&amp;" AND u.NomeUsuario = "&amp;"'"&amp;SUBSTITUTE($B76,"'","''")&amp;"'"&amp;" AND c.Texto = "&amp;"'"&amp;SUBSTITUTE($C76,"'","''")&amp;"'"&amp;");")</f>
        <v/>
      </c>
    </row>
    <row r="77" customFormat="false" ht="15" hidden="false" customHeight="false" outlineLevel="0" collapsed="false">
      <c r="A77" s="26"/>
      <c r="B77" s="26"/>
      <c r="C77" s="26"/>
      <c r="D77" s="28"/>
      <c r="E77" s="26"/>
      <c r="F77" s="26"/>
      <c r="G77" s="28"/>
      <c r="I77" s="25" t="str">
        <f aca="false">IF($A77="","","INSERT INTO Comentarios (ID_Post, ID_Autor, Texto, DataComentario, Status_Moderacao, ID_Moderador, DataModeracao) SELECT "&amp;"(SELECT ID_Post FROM Posts WHERE URL_Post = '"&amp;SUBSTITUTE($A77,"'","''")&amp;"')"&amp;", "&amp;"(SELECT ID_Usuario FROM Usuario WHERE NomeUsuario = '"&amp;SUBSTITUTE($B77,"'","''")&amp;"')"&amp;", "&amp;"'"&amp;SUBSTITUTE($C77,"'","''")&amp;"'"&amp;", "&amp;IF($D77="","SYSDATETIME()","'"&amp;SUBSTITUTE($D77,"'","''")&amp;"'")&amp;", "&amp;IF($E77="","'Pendente'","'"&amp;SUBSTITUTE($E77,"'","''")&amp;"'")&amp;", "&amp;IF($F77="","NULL","(SELECT ID_Usuario FROM Usuario WHERE NomeUsuario = '"&amp;SUBSTITUTE($F77,"'","''")&amp;"')")&amp;", "&amp;IF($G77="","NULL","'"&amp;SUBSTITUTE($G77,"'","''")&amp;"'")&amp;" WHERE NOT EXISTS (SELECT 1 FROM Comentarios c JOIN Posts p ON p.ID_Post = c.ID_Post JOIN Usuario u ON u.ID_Usuario = c.ID_Autor WHERE p.URL_Post = "&amp;"'"&amp;SUBSTITUTE($A77,"'","''")&amp;"'"&amp;" AND u.NomeUsuario = "&amp;"'"&amp;SUBSTITUTE($B77,"'","''")&amp;"'"&amp;" AND c.Texto = "&amp;"'"&amp;SUBSTITUTE($C77,"'","''")&amp;"'"&amp;");")</f>
        <v/>
      </c>
    </row>
    <row r="78" customFormat="false" ht="15" hidden="false" customHeight="false" outlineLevel="0" collapsed="false">
      <c r="A78" s="26"/>
      <c r="B78" s="26"/>
      <c r="C78" s="26"/>
      <c r="D78" s="28"/>
      <c r="E78" s="26"/>
      <c r="F78" s="26"/>
      <c r="G78" s="28"/>
      <c r="I78" s="25" t="str">
        <f aca="false">IF($A78="","","INSERT INTO Comentarios (ID_Post, ID_Autor, Texto, DataComentario, Status_Moderacao, ID_Moderador, DataModeracao) SELECT "&amp;"(SELECT ID_Post FROM Posts WHERE URL_Post = '"&amp;SUBSTITUTE($A78,"'","''")&amp;"')"&amp;", "&amp;"(SELECT ID_Usuario FROM Usuario WHERE NomeUsuario = '"&amp;SUBSTITUTE($B78,"'","''")&amp;"')"&amp;", "&amp;"'"&amp;SUBSTITUTE($C78,"'","''")&amp;"'"&amp;", "&amp;IF($D78="","SYSDATETIME()","'"&amp;SUBSTITUTE($D78,"'","''")&amp;"'")&amp;", "&amp;IF($E78="","'Pendente'","'"&amp;SUBSTITUTE($E78,"'","''")&amp;"'")&amp;", "&amp;IF($F78="","NULL","(SELECT ID_Usuario FROM Usuario WHERE NomeUsuario = '"&amp;SUBSTITUTE($F78,"'","''")&amp;"')")&amp;", "&amp;IF($G78="","NULL","'"&amp;SUBSTITUTE($G78,"'","''")&amp;"'")&amp;" WHERE NOT EXISTS (SELECT 1 FROM Comentarios c JOIN Posts p ON p.ID_Post = c.ID_Post JOIN Usuario u ON u.ID_Usuario = c.ID_Autor WHERE p.URL_Post = "&amp;"'"&amp;SUBSTITUTE($A78,"'","''")&amp;"'"&amp;" AND u.NomeUsuario = "&amp;"'"&amp;SUBSTITUTE($B78,"'","''")&amp;"'"&amp;" AND c.Texto = "&amp;"'"&amp;SUBSTITUTE($C78,"'","''")&amp;"'"&amp;");")</f>
        <v/>
      </c>
    </row>
    <row r="79" customFormat="false" ht="15" hidden="false" customHeight="false" outlineLevel="0" collapsed="false">
      <c r="A79" s="26"/>
      <c r="B79" s="26"/>
      <c r="C79" s="26"/>
      <c r="D79" s="28"/>
      <c r="E79" s="26"/>
      <c r="F79" s="26"/>
      <c r="G79" s="28"/>
      <c r="I79" s="25" t="str">
        <f aca="false">IF($A79="","","INSERT INTO Comentarios (ID_Post, ID_Autor, Texto, DataComentario, Status_Moderacao, ID_Moderador, DataModeracao) SELECT "&amp;"(SELECT ID_Post FROM Posts WHERE URL_Post = '"&amp;SUBSTITUTE($A79,"'","''")&amp;"')"&amp;", "&amp;"(SELECT ID_Usuario FROM Usuario WHERE NomeUsuario = '"&amp;SUBSTITUTE($B79,"'","''")&amp;"')"&amp;", "&amp;"'"&amp;SUBSTITUTE($C79,"'","''")&amp;"'"&amp;", "&amp;IF($D79="","SYSDATETIME()","'"&amp;SUBSTITUTE($D79,"'","''")&amp;"'")&amp;", "&amp;IF($E79="","'Pendente'","'"&amp;SUBSTITUTE($E79,"'","''")&amp;"'")&amp;", "&amp;IF($F79="","NULL","(SELECT ID_Usuario FROM Usuario WHERE NomeUsuario = '"&amp;SUBSTITUTE($F79,"'","''")&amp;"')")&amp;", "&amp;IF($G79="","NULL","'"&amp;SUBSTITUTE($G79,"'","''")&amp;"'")&amp;" WHERE NOT EXISTS (SELECT 1 FROM Comentarios c JOIN Posts p ON p.ID_Post = c.ID_Post JOIN Usuario u ON u.ID_Usuario = c.ID_Autor WHERE p.URL_Post = "&amp;"'"&amp;SUBSTITUTE($A79,"'","''")&amp;"'"&amp;" AND u.NomeUsuario = "&amp;"'"&amp;SUBSTITUTE($B79,"'","''")&amp;"'"&amp;" AND c.Texto = "&amp;"'"&amp;SUBSTITUTE($C79,"'","''")&amp;"'"&amp;");")</f>
        <v/>
      </c>
    </row>
    <row r="80" customFormat="false" ht="15" hidden="false" customHeight="false" outlineLevel="0" collapsed="false">
      <c r="A80" s="26"/>
      <c r="B80" s="26"/>
      <c r="C80" s="26"/>
      <c r="D80" s="28"/>
      <c r="E80" s="26"/>
      <c r="F80" s="26"/>
      <c r="G80" s="28"/>
      <c r="I80" s="25" t="str">
        <f aca="false">IF($A80="","","INSERT INTO Comentarios (ID_Post, ID_Autor, Texto, DataComentario, Status_Moderacao, ID_Moderador, DataModeracao) SELECT "&amp;"(SELECT ID_Post FROM Posts WHERE URL_Post = '"&amp;SUBSTITUTE($A80,"'","''")&amp;"')"&amp;", "&amp;"(SELECT ID_Usuario FROM Usuario WHERE NomeUsuario = '"&amp;SUBSTITUTE($B80,"'","''")&amp;"')"&amp;", "&amp;"'"&amp;SUBSTITUTE($C80,"'","''")&amp;"'"&amp;", "&amp;IF($D80="","SYSDATETIME()","'"&amp;SUBSTITUTE($D80,"'","''")&amp;"'")&amp;", "&amp;IF($E80="","'Pendente'","'"&amp;SUBSTITUTE($E80,"'","''")&amp;"'")&amp;", "&amp;IF($F80="","NULL","(SELECT ID_Usuario FROM Usuario WHERE NomeUsuario = '"&amp;SUBSTITUTE($F80,"'","''")&amp;"')")&amp;", "&amp;IF($G80="","NULL","'"&amp;SUBSTITUTE($G80,"'","''")&amp;"'")&amp;" WHERE NOT EXISTS (SELECT 1 FROM Comentarios c JOIN Posts p ON p.ID_Post = c.ID_Post JOIN Usuario u ON u.ID_Usuario = c.ID_Autor WHERE p.URL_Post = "&amp;"'"&amp;SUBSTITUTE($A80,"'","''")&amp;"'"&amp;" AND u.NomeUsuario = "&amp;"'"&amp;SUBSTITUTE($B80,"'","''")&amp;"'"&amp;" AND c.Texto = "&amp;"'"&amp;SUBSTITUTE($C80,"'","''")&amp;"'"&amp;");")</f>
        <v/>
      </c>
    </row>
    <row r="81" customFormat="false" ht="15" hidden="false" customHeight="false" outlineLevel="0" collapsed="false">
      <c r="A81" s="26"/>
      <c r="B81" s="26"/>
      <c r="C81" s="26"/>
      <c r="D81" s="28"/>
      <c r="E81" s="26"/>
      <c r="F81" s="26"/>
      <c r="G81" s="28"/>
      <c r="I81" s="25" t="str">
        <f aca="false">IF($A81="","","INSERT INTO Comentarios (ID_Post, ID_Autor, Texto, DataComentario, Status_Moderacao, ID_Moderador, DataModeracao) SELECT "&amp;"(SELECT ID_Post FROM Posts WHERE URL_Post = '"&amp;SUBSTITUTE($A81,"'","''")&amp;"')"&amp;", "&amp;"(SELECT ID_Usuario FROM Usuario WHERE NomeUsuario = '"&amp;SUBSTITUTE($B81,"'","''")&amp;"')"&amp;", "&amp;"'"&amp;SUBSTITUTE($C81,"'","''")&amp;"'"&amp;", "&amp;IF($D81="","SYSDATETIME()","'"&amp;SUBSTITUTE($D81,"'","''")&amp;"'")&amp;", "&amp;IF($E81="","'Pendente'","'"&amp;SUBSTITUTE($E81,"'","''")&amp;"'")&amp;", "&amp;IF($F81="","NULL","(SELECT ID_Usuario FROM Usuario WHERE NomeUsuario = '"&amp;SUBSTITUTE($F81,"'","''")&amp;"')")&amp;", "&amp;IF($G81="","NULL","'"&amp;SUBSTITUTE($G81,"'","''")&amp;"'")&amp;" WHERE NOT EXISTS (SELECT 1 FROM Comentarios c JOIN Posts p ON p.ID_Post = c.ID_Post JOIN Usuario u ON u.ID_Usuario = c.ID_Autor WHERE p.URL_Post = "&amp;"'"&amp;SUBSTITUTE($A81,"'","''")&amp;"'"&amp;" AND u.NomeUsuario = "&amp;"'"&amp;SUBSTITUTE($B81,"'","''")&amp;"'"&amp;" AND c.Texto = "&amp;"'"&amp;SUBSTITUTE($C81,"'","''")&amp;"'"&amp;");")</f>
        <v/>
      </c>
    </row>
    <row r="82" customFormat="false" ht="15" hidden="false" customHeight="false" outlineLevel="0" collapsed="false">
      <c r="A82" s="26"/>
      <c r="B82" s="26"/>
      <c r="C82" s="26"/>
      <c r="D82" s="28"/>
      <c r="E82" s="26"/>
      <c r="F82" s="26"/>
      <c r="G82" s="28"/>
      <c r="I82" s="25" t="str">
        <f aca="false">IF($A82="","","INSERT INTO Comentarios (ID_Post, ID_Autor, Texto, DataComentario, Status_Moderacao, ID_Moderador, DataModeracao) SELECT "&amp;"(SELECT ID_Post FROM Posts WHERE URL_Post = '"&amp;SUBSTITUTE($A82,"'","''")&amp;"')"&amp;", "&amp;"(SELECT ID_Usuario FROM Usuario WHERE NomeUsuario = '"&amp;SUBSTITUTE($B82,"'","''")&amp;"')"&amp;", "&amp;"'"&amp;SUBSTITUTE($C82,"'","''")&amp;"'"&amp;", "&amp;IF($D82="","SYSDATETIME()","'"&amp;SUBSTITUTE($D82,"'","''")&amp;"'")&amp;", "&amp;IF($E82="","'Pendente'","'"&amp;SUBSTITUTE($E82,"'","''")&amp;"'")&amp;", "&amp;IF($F82="","NULL","(SELECT ID_Usuario FROM Usuario WHERE NomeUsuario = '"&amp;SUBSTITUTE($F82,"'","''")&amp;"')")&amp;", "&amp;IF($G82="","NULL","'"&amp;SUBSTITUTE($G82,"'","''")&amp;"'")&amp;" WHERE NOT EXISTS (SELECT 1 FROM Comentarios c JOIN Posts p ON p.ID_Post = c.ID_Post JOIN Usuario u ON u.ID_Usuario = c.ID_Autor WHERE p.URL_Post = "&amp;"'"&amp;SUBSTITUTE($A82,"'","''")&amp;"'"&amp;" AND u.NomeUsuario = "&amp;"'"&amp;SUBSTITUTE($B82,"'","''")&amp;"'"&amp;" AND c.Texto = "&amp;"'"&amp;SUBSTITUTE($C82,"'","''")&amp;"'"&amp;");")</f>
        <v/>
      </c>
    </row>
    <row r="83" customFormat="false" ht="15" hidden="false" customHeight="false" outlineLevel="0" collapsed="false">
      <c r="A83" s="26"/>
      <c r="B83" s="26"/>
      <c r="C83" s="26"/>
      <c r="D83" s="28"/>
      <c r="E83" s="26"/>
      <c r="F83" s="26"/>
      <c r="G83" s="28"/>
      <c r="I83" s="25" t="str">
        <f aca="false">IF($A83="","","INSERT INTO Comentarios (ID_Post, ID_Autor, Texto, DataComentario, Status_Moderacao, ID_Moderador, DataModeracao) SELECT "&amp;"(SELECT ID_Post FROM Posts WHERE URL_Post = '"&amp;SUBSTITUTE($A83,"'","''")&amp;"')"&amp;", "&amp;"(SELECT ID_Usuario FROM Usuario WHERE NomeUsuario = '"&amp;SUBSTITUTE($B83,"'","''")&amp;"')"&amp;", "&amp;"'"&amp;SUBSTITUTE($C83,"'","''")&amp;"'"&amp;", "&amp;IF($D83="","SYSDATETIME()","'"&amp;SUBSTITUTE($D83,"'","''")&amp;"'")&amp;", "&amp;IF($E83="","'Pendente'","'"&amp;SUBSTITUTE($E83,"'","''")&amp;"'")&amp;", "&amp;IF($F83="","NULL","(SELECT ID_Usuario FROM Usuario WHERE NomeUsuario = '"&amp;SUBSTITUTE($F83,"'","''")&amp;"')")&amp;", "&amp;IF($G83="","NULL","'"&amp;SUBSTITUTE($G83,"'","''")&amp;"'")&amp;" WHERE NOT EXISTS (SELECT 1 FROM Comentarios c JOIN Posts p ON p.ID_Post = c.ID_Post JOIN Usuario u ON u.ID_Usuario = c.ID_Autor WHERE p.URL_Post = "&amp;"'"&amp;SUBSTITUTE($A83,"'","''")&amp;"'"&amp;" AND u.NomeUsuario = "&amp;"'"&amp;SUBSTITUTE($B83,"'","''")&amp;"'"&amp;" AND c.Texto = "&amp;"'"&amp;SUBSTITUTE($C83,"'","''")&amp;"'"&amp;");")</f>
        <v/>
      </c>
    </row>
    <row r="84" customFormat="false" ht="15" hidden="false" customHeight="false" outlineLevel="0" collapsed="false">
      <c r="A84" s="26"/>
      <c r="B84" s="26"/>
      <c r="C84" s="26"/>
      <c r="D84" s="28"/>
      <c r="E84" s="26"/>
      <c r="F84" s="26"/>
      <c r="G84" s="28"/>
      <c r="I84" s="25" t="str">
        <f aca="false">IF($A84="","","INSERT INTO Comentarios (ID_Post, ID_Autor, Texto, DataComentario, Status_Moderacao, ID_Moderador, DataModeracao) SELECT "&amp;"(SELECT ID_Post FROM Posts WHERE URL_Post = '"&amp;SUBSTITUTE($A84,"'","''")&amp;"')"&amp;", "&amp;"(SELECT ID_Usuario FROM Usuario WHERE NomeUsuario = '"&amp;SUBSTITUTE($B84,"'","''")&amp;"')"&amp;", "&amp;"'"&amp;SUBSTITUTE($C84,"'","''")&amp;"'"&amp;", "&amp;IF($D84="","SYSDATETIME()","'"&amp;SUBSTITUTE($D84,"'","''")&amp;"'")&amp;", "&amp;IF($E84="","'Pendente'","'"&amp;SUBSTITUTE($E84,"'","''")&amp;"'")&amp;", "&amp;IF($F84="","NULL","(SELECT ID_Usuario FROM Usuario WHERE NomeUsuario = '"&amp;SUBSTITUTE($F84,"'","''")&amp;"')")&amp;", "&amp;IF($G84="","NULL","'"&amp;SUBSTITUTE($G84,"'","''")&amp;"'")&amp;" WHERE NOT EXISTS (SELECT 1 FROM Comentarios c JOIN Posts p ON p.ID_Post = c.ID_Post JOIN Usuario u ON u.ID_Usuario = c.ID_Autor WHERE p.URL_Post = "&amp;"'"&amp;SUBSTITUTE($A84,"'","''")&amp;"'"&amp;" AND u.NomeUsuario = "&amp;"'"&amp;SUBSTITUTE($B84,"'","''")&amp;"'"&amp;" AND c.Texto = "&amp;"'"&amp;SUBSTITUTE($C84,"'","''")&amp;"'"&amp;");")</f>
        <v/>
      </c>
    </row>
    <row r="85" customFormat="false" ht="15" hidden="false" customHeight="false" outlineLevel="0" collapsed="false">
      <c r="A85" s="26"/>
      <c r="B85" s="26"/>
      <c r="C85" s="26"/>
      <c r="D85" s="28"/>
      <c r="E85" s="26"/>
      <c r="F85" s="26"/>
      <c r="G85" s="28"/>
      <c r="I85" s="25" t="str">
        <f aca="false">IF($A85="","","INSERT INTO Comentarios (ID_Post, ID_Autor, Texto, DataComentario, Status_Moderacao, ID_Moderador, DataModeracao) SELECT "&amp;"(SELECT ID_Post FROM Posts WHERE URL_Post = '"&amp;SUBSTITUTE($A85,"'","''")&amp;"')"&amp;", "&amp;"(SELECT ID_Usuario FROM Usuario WHERE NomeUsuario = '"&amp;SUBSTITUTE($B85,"'","''")&amp;"')"&amp;", "&amp;"'"&amp;SUBSTITUTE($C85,"'","''")&amp;"'"&amp;", "&amp;IF($D85="","SYSDATETIME()","'"&amp;SUBSTITUTE($D85,"'","''")&amp;"'")&amp;", "&amp;IF($E85="","'Pendente'","'"&amp;SUBSTITUTE($E85,"'","''")&amp;"'")&amp;", "&amp;IF($F85="","NULL","(SELECT ID_Usuario FROM Usuario WHERE NomeUsuario = '"&amp;SUBSTITUTE($F85,"'","''")&amp;"')")&amp;", "&amp;IF($G85="","NULL","'"&amp;SUBSTITUTE($G85,"'","''")&amp;"'")&amp;" WHERE NOT EXISTS (SELECT 1 FROM Comentarios c JOIN Posts p ON p.ID_Post = c.ID_Post JOIN Usuario u ON u.ID_Usuario = c.ID_Autor WHERE p.URL_Post = "&amp;"'"&amp;SUBSTITUTE($A85,"'","''")&amp;"'"&amp;" AND u.NomeUsuario = "&amp;"'"&amp;SUBSTITUTE($B85,"'","''")&amp;"'"&amp;" AND c.Texto = "&amp;"'"&amp;SUBSTITUTE($C85,"'","''")&amp;"'"&amp;");")</f>
        <v/>
      </c>
    </row>
    <row r="86" customFormat="false" ht="15" hidden="false" customHeight="false" outlineLevel="0" collapsed="false">
      <c r="A86" s="26"/>
      <c r="B86" s="26"/>
      <c r="C86" s="26"/>
      <c r="D86" s="28"/>
      <c r="E86" s="26"/>
      <c r="F86" s="26"/>
      <c r="G86" s="28"/>
      <c r="I86" s="25" t="str">
        <f aca="false">IF($A86="","","INSERT INTO Comentarios (ID_Post, ID_Autor, Texto, DataComentario, Status_Moderacao, ID_Moderador, DataModeracao) SELECT "&amp;"(SELECT ID_Post FROM Posts WHERE URL_Post = '"&amp;SUBSTITUTE($A86,"'","''")&amp;"')"&amp;", "&amp;"(SELECT ID_Usuario FROM Usuario WHERE NomeUsuario = '"&amp;SUBSTITUTE($B86,"'","''")&amp;"')"&amp;", "&amp;"'"&amp;SUBSTITUTE($C86,"'","''")&amp;"'"&amp;", "&amp;IF($D86="","SYSDATETIME()","'"&amp;SUBSTITUTE($D86,"'","''")&amp;"'")&amp;", "&amp;IF($E86="","'Pendente'","'"&amp;SUBSTITUTE($E86,"'","''")&amp;"'")&amp;", "&amp;IF($F86="","NULL","(SELECT ID_Usuario FROM Usuario WHERE NomeUsuario = '"&amp;SUBSTITUTE($F86,"'","''")&amp;"')")&amp;", "&amp;IF($G86="","NULL","'"&amp;SUBSTITUTE($G86,"'","''")&amp;"'")&amp;" WHERE NOT EXISTS (SELECT 1 FROM Comentarios c JOIN Posts p ON p.ID_Post = c.ID_Post JOIN Usuario u ON u.ID_Usuario = c.ID_Autor WHERE p.URL_Post = "&amp;"'"&amp;SUBSTITUTE($A86,"'","''")&amp;"'"&amp;" AND u.NomeUsuario = "&amp;"'"&amp;SUBSTITUTE($B86,"'","''")&amp;"'"&amp;" AND c.Texto = "&amp;"'"&amp;SUBSTITUTE($C86,"'","''")&amp;"'"&amp;");")</f>
        <v/>
      </c>
    </row>
    <row r="87" customFormat="false" ht="15" hidden="false" customHeight="false" outlineLevel="0" collapsed="false">
      <c r="A87" s="26"/>
      <c r="B87" s="26"/>
      <c r="C87" s="26"/>
      <c r="D87" s="28"/>
      <c r="E87" s="26"/>
      <c r="F87" s="26"/>
      <c r="G87" s="28"/>
      <c r="I87" s="25" t="str">
        <f aca="false">IF($A87="","","INSERT INTO Comentarios (ID_Post, ID_Autor, Texto, DataComentario, Status_Moderacao, ID_Moderador, DataModeracao) SELECT "&amp;"(SELECT ID_Post FROM Posts WHERE URL_Post = '"&amp;SUBSTITUTE($A87,"'","''")&amp;"')"&amp;", "&amp;"(SELECT ID_Usuario FROM Usuario WHERE NomeUsuario = '"&amp;SUBSTITUTE($B87,"'","''")&amp;"')"&amp;", "&amp;"'"&amp;SUBSTITUTE($C87,"'","''")&amp;"'"&amp;", "&amp;IF($D87="","SYSDATETIME()","'"&amp;SUBSTITUTE($D87,"'","''")&amp;"'")&amp;", "&amp;IF($E87="","'Pendente'","'"&amp;SUBSTITUTE($E87,"'","''")&amp;"'")&amp;", "&amp;IF($F87="","NULL","(SELECT ID_Usuario FROM Usuario WHERE NomeUsuario = '"&amp;SUBSTITUTE($F87,"'","''")&amp;"')")&amp;", "&amp;IF($G87="","NULL","'"&amp;SUBSTITUTE($G87,"'","''")&amp;"'")&amp;" WHERE NOT EXISTS (SELECT 1 FROM Comentarios c JOIN Posts p ON p.ID_Post = c.ID_Post JOIN Usuario u ON u.ID_Usuario = c.ID_Autor WHERE p.URL_Post = "&amp;"'"&amp;SUBSTITUTE($A87,"'","''")&amp;"'"&amp;" AND u.NomeUsuario = "&amp;"'"&amp;SUBSTITUTE($B87,"'","''")&amp;"'"&amp;" AND c.Texto = "&amp;"'"&amp;SUBSTITUTE($C87,"'","''")&amp;"'"&amp;");")</f>
        <v/>
      </c>
    </row>
    <row r="88" customFormat="false" ht="15" hidden="false" customHeight="false" outlineLevel="0" collapsed="false">
      <c r="A88" s="26"/>
      <c r="B88" s="26"/>
      <c r="C88" s="26"/>
      <c r="D88" s="28"/>
      <c r="E88" s="26"/>
      <c r="F88" s="26"/>
      <c r="G88" s="28"/>
      <c r="I88" s="25" t="str">
        <f aca="false">IF($A88="","","INSERT INTO Comentarios (ID_Post, ID_Autor, Texto, DataComentario, Status_Moderacao, ID_Moderador, DataModeracao) SELECT "&amp;"(SELECT ID_Post FROM Posts WHERE URL_Post = '"&amp;SUBSTITUTE($A88,"'","''")&amp;"')"&amp;", "&amp;"(SELECT ID_Usuario FROM Usuario WHERE NomeUsuario = '"&amp;SUBSTITUTE($B88,"'","''")&amp;"')"&amp;", "&amp;"'"&amp;SUBSTITUTE($C88,"'","''")&amp;"'"&amp;", "&amp;IF($D88="","SYSDATETIME()","'"&amp;SUBSTITUTE($D88,"'","''")&amp;"'")&amp;", "&amp;IF($E88="","'Pendente'","'"&amp;SUBSTITUTE($E88,"'","''")&amp;"'")&amp;", "&amp;IF($F88="","NULL","(SELECT ID_Usuario FROM Usuario WHERE NomeUsuario = '"&amp;SUBSTITUTE($F88,"'","''")&amp;"')")&amp;", "&amp;IF($G88="","NULL","'"&amp;SUBSTITUTE($G88,"'","''")&amp;"'")&amp;" WHERE NOT EXISTS (SELECT 1 FROM Comentarios c JOIN Posts p ON p.ID_Post = c.ID_Post JOIN Usuario u ON u.ID_Usuario = c.ID_Autor WHERE p.URL_Post = "&amp;"'"&amp;SUBSTITUTE($A88,"'","''")&amp;"'"&amp;" AND u.NomeUsuario = "&amp;"'"&amp;SUBSTITUTE($B88,"'","''")&amp;"'"&amp;" AND c.Texto = "&amp;"'"&amp;SUBSTITUTE($C88,"'","''")&amp;"'"&amp;");")</f>
        <v/>
      </c>
    </row>
    <row r="89" customFormat="false" ht="15" hidden="false" customHeight="false" outlineLevel="0" collapsed="false">
      <c r="A89" s="26"/>
      <c r="B89" s="26"/>
      <c r="C89" s="26"/>
      <c r="D89" s="28"/>
      <c r="E89" s="26"/>
      <c r="F89" s="26"/>
      <c r="G89" s="28"/>
      <c r="I89" s="25" t="str">
        <f aca="false">IF($A89="","","INSERT INTO Comentarios (ID_Post, ID_Autor, Texto, DataComentario, Status_Moderacao, ID_Moderador, DataModeracao) SELECT "&amp;"(SELECT ID_Post FROM Posts WHERE URL_Post = '"&amp;SUBSTITUTE($A89,"'","''")&amp;"')"&amp;", "&amp;"(SELECT ID_Usuario FROM Usuario WHERE NomeUsuario = '"&amp;SUBSTITUTE($B89,"'","''")&amp;"')"&amp;", "&amp;"'"&amp;SUBSTITUTE($C89,"'","''")&amp;"'"&amp;", "&amp;IF($D89="","SYSDATETIME()","'"&amp;SUBSTITUTE($D89,"'","''")&amp;"'")&amp;", "&amp;IF($E89="","'Pendente'","'"&amp;SUBSTITUTE($E89,"'","''")&amp;"'")&amp;", "&amp;IF($F89="","NULL","(SELECT ID_Usuario FROM Usuario WHERE NomeUsuario = '"&amp;SUBSTITUTE($F89,"'","''")&amp;"')")&amp;", "&amp;IF($G89="","NULL","'"&amp;SUBSTITUTE($G89,"'","''")&amp;"'")&amp;" WHERE NOT EXISTS (SELECT 1 FROM Comentarios c JOIN Posts p ON p.ID_Post = c.ID_Post JOIN Usuario u ON u.ID_Usuario = c.ID_Autor WHERE p.URL_Post = "&amp;"'"&amp;SUBSTITUTE($A89,"'","''")&amp;"'"&amp;" AND u.NomeUsuario = "&amp;"'"&amp;SUBSTITUTE($B89,"'","''")&amp;"'"&amp;" AND c.Texto = "&amp;"'"&amp;SUBSTITUTE($C89,"'","''")&amp;"'"&amp;");")</f>
        <v/>
      </c>
    </row>
    <row r="90" customFormat="false" ht="15" hidden="false" customHeight="false" outlineLevel="0" collapsed="false">
      <c r="A90" s="26"/>
      <c r="B90" s="26"/>
      <c r="C90" s="26"/>
      <c r="D90" s="28"/>
      <c r="E90" s="26"/>
      <c r="F90" s="26"/>
      <c r="G90" s="28"/>
      <c r="I90" s="25" t="str">
        <f aca="false">IF($A90="","","INSERT INTO Comentarios (ID_Post, ID_Autor, Texto, DataComentario, Status_Moderacao, ID_Moderador, DataModeracao) SELECT "&amp;"(SELECT ID_Post FROM Posts WHERE URL_Post = '"&amp;SUBSTITUTE($A90,"'","''")&amp;"')"&amp;", "&amp;"(SELECT ID_Usuario FROM Usuario WHERE NomeUsuario = '"&amp;SUBSTITUTE($B90,"'","''")&amp;"')"&amp;", "&amp;"'"&amp;SUBSTITUTE($C90,"'","''")&amp;"'"&amp;", "&amp;IF($D90="","SYSDATETIME()","'"&amp;SUBSTITUTE($D90,"'","''")&amp;"'")&amp;", "&amp;IF($E90="","'Pendente'","'"&amp;SUBSTITUTE($E90,"'","''")&amp;"'")&amp;", "&amp;IF($F90="","NULL","(SELECT ID_Usuario FROM Usuario WHERE NomeUsuario = '"&amp;SUBSTITUTE($F90,"'","''")&amp;"')")&amp;", "&amp;IF($G90="","NULL","'"&amp;SUBSTITUTE($G90,"'","''")&amp;"'")&amp;" WHERE NOT EXISTS (SELECT 1 FROM Comentarios c JOIN Posts p ON p.ID_Post = c.ID_Post JOIN Usuario u ON u.ID_Usuario = c.ID_Autor WHERE p.URL_Post = "&amp;"'"&amp;SUBSTITUTE($A90,"'","''")&amp;"'"&amp;" AND u.NomeUsuario = "&amp;"'"&amp;SUBSTITUTE($B90,"'","''")&amp;"'"&amp;" AND c.Texto = "&amp;"'"&amp;SUBSTITUTE($C90,"'","''")&amp;"'"&amp;");")</f>
        <v/>
      </c>
    </row>
    <row r="91" customFormat="false" ht="15" hidden="false" customHeight="false" outlineLevel="0" collapsed="false">
      <c r="A91" s="26"/>
      <c r="B91" s="26"/>
      <c r="C91" s="26"/>
      <c r="D91" s="28"/>
      <c r="E91" s="26"/>
      <c r="F91" s="26"/>
      <c r="G91" s="28"/>
      <c r="I91" s="25" t="str">
        <f aca="false">IF($A91="","","INSERT INTO Comentarios (ID_Post, ID_Autor, Texto, DataComentario, Status_Moderacao, ID_Moderador, DataModeracao) SELECT "&amp;"(SELECT ID_Post FROM Posts WHERE URL_Post = '"&amp;SUBSTITUTE($A91,"'","''")&amp;"')"&amp;", "&amp;"(SELECT ID_Usuario FROM Usuario WHERE NomeUsuario = '"&amp;SUBSTITUTE($B91,"'","''")&amp;"')"&amp;", "&amp;"'"&amp;SUBSTITUTE($C91,"'","''")&amp;"'"&amp;", "&amp;IF($D91="","SYSDATETIME()","'"&amp;SUBSTITUTE($D91,"'","''")&amp;"'")&amp;", "&amp;IF($E91="","'Pendente'","'"&amp;SUBSTITUTE($E91,"'","''")&amp;"'")&amp;", "&amp;IF($F91="","NULL","(SELECT ID_Usuario FROM Usuario WHERE NomeUsuario = '"&amp;SUBSTITUTE($F91,"'","''")&amp;"')")&amp;", "&amp;IF($G91="","NULL","'"&amp;SUBSTITUTE($G91,"'","''")&amp;"'")&amp;" WHERE NOT EXISTS (SELECT 1 FROM Comentarios c JOIN Posts p ON p.ID_Post = c.ID_Post JOIN Usuario u ON u.ID_Usuario = c.ID_Autor WHERE p.URL_Post = "&amp;"'"&amp;SUBSTITUTE($A91,"'","''")&amp;"'"&amp;" AND u.NomeUsuario = "&amp;"'"&amp;SUBSTITUTE($B91,"'","''")&amp;"'"&amp;" AND c.Texto = "&amp;"'"&amp;SUBSTITUTE($C91,"'","''")&amp;"'"&amp;");")</f>
        <v/>
      </c>
    </row>
    <row r="92" customFormat="false" ht="15" hidden="false" customHeight="false" outlineLevel="0" collapsed="false">
      <c r="A92" s="26"/>
      <c r="B92" s="26"/>
      <c r="C92" s="26"/>
      <c r="D92" s="28"/>
      <c r="E92" s="26"/>
      <c r="F92" s="26"/>
      <c r="G92" s="28"/>
      <c r="I92" s="25" t="str">
        <f aca="false">IF($A92="","","INSERT INTO Comentarios (ID_Post, ID_Autor, Texto, DataComentario, Status_Moderacao, ID_Moderador, DataModeracao) SELECT "&amp;"(SELECT ID_Post FROM Posts WHERE URL_Post = '"&amp;SUBSTITUTE($A92,"'","''")&amp;"')"&amp;", "&amp;"(SELECT ID_Usuario FROM Usuario WHERE NomeUsuario = '"&amp;SUBSTITUTE($B92,"'","''")&amp;"')"&amp;", "&amp;"'"&amp;SUBSTITUTE($C92,"'","''")&amp;"'"&amp;", "&amp;IF($D92="","SYSDATETIME()","'"&amp;SUBSTITUTE($D92,"'","''")&amp;"'")&amp;", "&amp;IF($E92="","'Pendente'","'"&amp;SUBSTITUTE($E92,"'","''")&amp;"'")&amp;", "&amp;IF($F92="","NULL","(SELECT ID_Usuario FROM Usuario WHERE NomeUsuario = '"&amp;SUBSTITUTE($F92,"'","''")&amp;"')")&amp;", "&amp;IF($G92="","NULL","'"&amp;SUBSTITUTE($G92,"'","''")&amp;"'")&amp;" WHERE NOT EXISTS (SELECT 1 FROM Comentarios c JOIN Posts p ON p.ID_Post = c.ID_Post JOIN Usuario u ON u.ID_Usuario = c.ID_Autor WHERE p.URL_Post = "&amp;"'"&amp;SUBSTITUTE($A92,"'","''")&amp;"'"&amp;" AND u.NomeUsuario = "&amp;"'"&amp;SUBSTITUTE($B92,"'","''")&amp;"'"&amp;" AND c.Texto = "&amp;"'"&amp;SUBSTITUTE($C92,"'","''")&amp;"'"&amp;");")</f>
        <v/>
      </c>
    </row>
    <row r="93" customFormat="false" ht="15" hidden="false" customHeight="false" outlineLevel="0" collapsed="false">
      <c r="A93" s="26"/>
      <c r="B93" s="26"/>
      <c r="C93" s="26"/>
      <c r="D93" s="28"/>
      <c r="E93" s="26"/>
      <c r="F93" s="26"/>
      <c r="G93" s="28"/>
      <c r="I93" s="25" t="str">
        <f aca="false">IF($A93="","","INSERT INTO Comentarios (ID_Post, ID_Autor, Texto, DataComentario, Status_Moderacao, ID_Moderador, DataModeracao) SELECT "&amp;"(SELECT ID_Post FROM Posts WHERE URL_Post = '"&amp;SUBSTITUTE($A93,"'","''")&amp;"')"&amp;", "&amp;"(SELECT ID_Usuario FROM Usuario WHERE NomeUsuario = '"&amp;SUBSTITUTE($B93,"'","''")&amp;"')"&amp;", "&amp;"'"&amp;SUBSTITUTE($C93,"'","''")&amp;"'"&amp;", "&amp;IF($D93="","SYSDATETIME()","'"&amp;SUBSTITUTE($D93,"'","''")&amp;"'")&amp;", "&amp;IF($E93="","'Pendente'","'"&amp;SUBSTITUTE($E93,"'","''")&amp;"'")&amp;", "&amp;IF($F93="","NULL","(SELECT ID_Usuario FROM Usuario WHERE NomeUsuario = '"&amp;SUBSTITUTE($F93,"'","''")&amp;"')")&amp;", "&amp;IF($G93="","NULL","'"&amp;SUBSTITUTE($G93,"'","''")&amp;"'")&amp;" WHERE NOT EXISTS (SELECT 1 FROM Comentarios c JOIN Posts p ON p.ID_Post = c.ID_Post JOIN Usuario u ON u.ID_Usuario = c.ID_Autor WHERE p.URL_Post = "&amp;"'"&amp;SUBSTITUTE($A93,"'","''")&amp;"'"&amp;" AND u.NomeUsuario = "&amp;"'"&amp;SUBSTITUTE($B93,"'","''")&amp;"'"&amp;" AND c.Texto = "&amp;"'"&amp;SUBSTITUTE($C93,"'","''")&amp;"'"&amp;");")</f>
        <v/>
      </c>
    </row>
    <row r="94" customFormat="false" ht="15" hidden="false" customHeight="false" outlineLevel="0" collapsed="false">
      <c r="A94" s="26"/>
      <c r="B94" s="26"/>
      <c r="C94" s="26"/>
      <c r="D94" s="28"/>
      <c r="E94" s="26"/>
      <c r="F94" s="26"/>
      <c r="G94" s="28"/>
      <c r="I94" s="25" t="str">
        <f aca="false">IF($A94="","","INSERT INTO Comentarios (ID_Post, ID_Autor, Texto, DataComentario, Status_Moderacao, ID_Moderador, DataModeracao) SELECT "&amp;"(SELECT ID_Post FROM Posts WHERE URL_Post = '"&amp;SUBSTITUTE($A94,"'","''")&amp;"')"&amp;", "&amp;"(SELECT ID_Usuario FROM Usuario WHERE NomeUsuario = '"&amp;SUBSTITUTE($B94,"'","''")&amp;"')"&amp;", "&amp;"'"&amp;SUBSTITUTE($C94,"'","''")&amp;"'"&amp;", "&amp;IF($D94="","SYSDATETIME()","'"&amp;SUBSTITUTE($D94,"'","''")&amp;"'")&amp;", "&amp;IF($E94="","'Pendente'","'"&amp;SUBSTITUTE($E94,"'","''")&amp;"'")&amp;", "&amp;IF($F94="","NULL","(SELECT ID_Usuario FROM Usuario WHERE NomeUsuario = '"&amp;SUBSTITUTE($F94,"'","''")&amp;"')")&amp;", "&amp;IF($G94="","NULL","'"&amp;SUBSTITUTE($G94,"'","''")&amp;"'")&amp;" WHERE NOT EXISTS (SELECT 1 FROM Comentarios c JOIN Posts p ON p.ID_Post = c.ID_Post JOIN Usuario u ON u.ID_Usuario = c.ID_Autor WHERE p.URL_Post = "&amp;"'"&amp;SUBSTITUTE($A94,"'","''")&amp;"'"&amp;" AND u.NomeUsuario = "&amp;"'"&amp;SUBSTITUTE($B94,"'","''")&amp;"'"&amp;" AND c.Texto = "&amp;"'"&amp;SUBSTITUTE($C94,"'","''")&amp;"'"&amp;");")</f>
        <v/>
      </c>
    </row>
    <row r="95" customFormat="false" ht="15" hidden="false" customHeight="false" outlineLevel="0" collapsed="false">
      <c r="A95" s="26"/>
      <c r="B95" s="26"/>
      <c r="C95" s="26"/>
      <c r="D95" s="28"/>
      <c r="E95" s="26"/>
      <c r="F95" s="26"/>
      <c r="G95" s="28"/>
      <c r="I95" s="25" t="str">
        <f aca="false">IF($A95="","","INSERT INTO Comentarios (ID_Post, ID_Autor, Texto, DataComentario, Status_Moderacao, ID_Moderador, DataModeracao) SELECT "&amp;"(SELECT ID_Post FROM Posts WHERE URL_Post = '"&amp;SUBSTITUTE($A95,"'","''")&amp;"')"&amp;", "&amp;"(SELECT ID_Usuario FROM Usuario WHERE NomeUsuario = '"&amp;SUBSTITUTE($B95,"'","''")&amp;"')"&amp;", "&amp;"'"&amp;SUBSTITUTE($C95,"'","''")&amp;"'"&amp;", "&amp;IF($D95="","SYSDATETIME()","'"&amp;SUBSTITUTE($D95,"'","''")&amp;"'")&amp;", "&amp;IF($E95="","'Pendente'","'"&amp;SUBSTITUTE($E95,"'","''")&amp;"'")&amp;", "&amp;IF($F95="","NULL","(SELECT ID_Usuario FROM Usuario WHERE NomeUsuario = '"&amp;SUBSTITUTE($F95,"'","''")&amp;"')")&amp;", "&amp;IF($G95="","NULL","'"&amp;SUBSTITUTE($G95,"'","''")&amp;"'")&amp;" WHERE NOT EXISTS (SELECT 1 FROM Comentarios c JOIN Posts p ON p.ID_Post = c.ID_Post JOIN Usuario u ON u.ID_Usuario = c.ID_Autor WHERE p.URL_Post = "&amp;"'"&amp;SUBSTITUTE($A95,"'","''")&amp;"'"&amp;" AND u.NomeUsuario = "&amp;"'"&amp;SUBSTITUTE($B95,"'","''")&amp;"'"&amp;" AND c.Texto = "&amp;"'"&amp;SUBSTITUTE($C95,"'","''")&amp;"'"&amp;");")</f>
        <v/>
      </c>
    </row>
    <row r="96" customFormat="false" ht="15" hidden="false" customHeight="false" outlineLevel="0" collapsed="false">
      <c r="A96" s="26"/>
      <c r="B96" s="26"/>
      <c r="C96" s="26"/>
      <c r="D96" s="28"/>
      <c r="E96" s="26"/>
      <c r="F96" s="26"/>
      <c r="G96" s="28"/>
      <c r="I96" s="25" t="str">
        <f aca="false">IF($A96="","","INSERT INTO Comentarios (ID_Post, ID_Autor, Texto, DataComentario, Status_Moderacao, ID_Moderador, DataModeracao) SELECT "&amp;"(SELECT ID_Post FROM Posts WHERE URL_Post = '"&amp;SUBSTITUTE($A96,"'","''")&amp;"')"&amp;", "&amp;"(SELECT ID_Usuario FROM Usuario WHERE NomeUsuario = '"&amp;SUBSTITUTE($B96,"'","''")&amp;"')"&amp;", "&amp;"'"&amp;SUBSTITUTE($C96,"'","''")&amp;"'"&amp;", "&amp;IF($D96="","SYSDATETIME()","'"&amp;SUBSTITUTE($D96,"'","''")&amp;"'")&amp;", "&amp;IF($E96="","'Pendente'","'"&amp;SUBSTITUTE($E96,"'","''")&amp;"'")&amp;", "&amp;IF($F96="","NULL","(SELECT ID_Usuario FROM Usuario WHERE NomeUsuario = '"&amp;SUBSTITUTE($F96,"'","''")&amp;"')")&amp;", "&amp;IF($G96="","NULL","'"&amp;SUBSTITUTE($G96,"'","''")&amp;"'")&amp;" WHERE NOT EXISTS (SELECT 1 FROM Comentarios c JOIN Posts p ON p.ID_Post = c.ID_Post JOIN Usuario u ON u.ID_Usuario = c.ID_Autor WHERE p.URL_Post = "&amp;"'"&amp;SUBSTITUTE($A96,"'","''")&amp;"'"&amp;" AND u.NomeUsuario = "&amp;"'"&amp;SUBSTITUTE($B96,"'","''")&amp;"'"&amp;" AND c.Texto = "&amp;"'"&amp;SUBSTITUTE($C96,"'","''")&amp;"'"&amp;");")</f>
        <v/>
      </c>
    </row>
    <row r="97" customFormat="false" ht="15" hidden="false" customHeight="false" outlineLevel="0" collapsed="false">
      <c r="A97" s="26"/>
      <c r="B97" s="26"/>
      <c r="C97" s="26"/>
      <c r="D97" s="28"/>
      <c r="E97" s="26"/>
      <c r="F97" s="26"/>
      <c r="G97" s="28"/>
      <c r="I97" s="25" t="str">
        <f aca="false">IF($A97="","","INSERT INTO Comentarios (ID_Post, ID_Autor, Texto, DataComentario, Status_Moderacao, ID_Moderador, DataModeracao) SELECT "&amp;"(SELECT ID_Post FROM Posts WHERE URL_Post = '"&amp;SUBSTITUTE($A97,"'","''")&amp;"')"&amp;", "&amp;"(SELECT ID_Usuario FROM Usuario WHERE NomeUsuario = '"&amp;SUBSTITUTE($B97,"'","''")&amp;"')"&amp;", "&amp;"'"&amp;SUBSTITUTE($C97,"'","''")&amp;"'"&amp;", "&amp;IF($D97="","SYSDATETIME()","'"&amp;SUBSTITUTE($D97,"'","''")&amp;"'")&amp;", "&amp;IF($E97="","'Pendente'","'"&amp;SUBSTITUTE($E97,"'","''")&amp;"'")&amp;", "&amp;IF($F97="","NULL","(SELECT ID_Usuario FROM Usuario WHERE NomeUsuario = '"&amp;SUBSTITUTE($F97,"'","''")&amp;"')")&amp;", "&amp;IF($G97="","NULL","'"&amp;SUBSTITUTE($G97,"'","''")&amp;"'")&amp;" WHERE NOT EXISTS (SELECT 1 FROM Comentarios c JOIN Posts p ON p.ID_Post = c.ID_Post JOIN Usuario u ON u.ID_Usuario = c.ID_Autor WHERE p.URL_Post = "&amp;"'"&amp;SUBSTITUTE($A97,"'","''")&amp;"'"&amp;" AND u.NomeUsuario = "&amp;"'"&amp;SUBSTITUTE($B97,"'","''")&amp;"'"&amp;" AND c.Texto = "&amp;"'"&amp;SUBSTITUTE($C97,"'","''")&amp;"'"&amp;");")</f>
        <v/>
      </c>
    </row>
    <row r="98" customFormat="false" ht="15" hidden="false" customHeight="false" outlineLevel="0" collapsed="false">
      <c r="A98" s="26"/>
      <c r="B98" s="26"/>
      <c r="C98" s="26"/>
      <c r="D98" s="28"/>
      <c r="E98" s="26"/>
      <c r="F98" s="26"/>
      <c r="G98" s="28"/>
      <c r="I98" s="25" t="str">
        <f aca="false">IF($A98="","","INSERT INTO Comentarios (ID_Post, ID_Autor, Texto, DataComentario, Status_Moderacao, ID_Moderador, DataModeracao) SELECT "&amp;"(SELECT ID_Post FROM Posts WHERE URL_Post = '"&amp;SUBSTITUTE($A98,"'","''")&amp;"')"&amp;", "&amp;"(SELECT ID_Usuario FROM Usuario WHERE NomeUsuario = '"&amp;SUBSTITUTE($B98,"'","''")&amp;"')"&amp;", "&amp;"'"&amp;SUBSTITUTE($C98,"'","''")&amp;"'"&amp;", "&amp;IF($D98="","SYSDATETIME()","'"&amp;SUBSTITUTE($D98,"'","''")&amp;"'")&amp;", "&amp;IF($E98="","'Pendente'","'"&amp;SUBSTITUTE($E98,"'","''")&amp;"'")&amp;", "&amp;IF($F98="","NULL","(SELECT ID_Usuario FROM Usuario WHERE NomeUsuario = '"&amp;SUBSTITUTE($F98,"'","''")&amp;"')")&amp;", "&amp;IF($G98="","NULL","'"&amp;SUBSTITUTE($G98,"'","''")&amp;"'")&amp;" WHERE NOT EXISTS (SELECT 1 FROM Comentarios c JOIN Posts p ON p.ID_Post = c.ID_Post JOIN Usuario u ON u.ID_Usuario = c.ID_Autor WHERE p.URL_Post = "&amp;"'"&amp;SUBSTITUTE($A98,"'","''")&amp;"'"&amp;" AND u.NomeUsuario = "&amp;"'"&amp;SUBSTITUTE($B98,"'","''")&amp;"'"&amp;" AND c.Texto = "&amp;"'"&amp;SUBSTITUTE($C98,"'","''")&amp;"'"&amp;");")</f>
        <v/>
      </c>
    </row>
    <row r="99" customFormat="false" ht="15" hidden="false" customHeight="false" outlineLevel="0" collapsed="false">
      <c r="A99" s="26"/>
      <c r="B99" s="26"/>
      <c r="C99" s="26"/>
      <c r="D99" s="28"/>
      <c r="E99" s="26"/>
      <c r="F99" s="26"/>
      <c r="G99" s="28"/>
      <c r="I99" s="25" t="str">
        <f aca="false">IF($A99="","","INSERT INTO Comentarios (ID_Post, ID_Autor, Texto, DataComentario, Status_Moderacao, ID_Moderador, DataModeracao) SELECT "&amp;"(SELECT ID_Post FROM Posts WHERE URL_Post = '"&amp;SUBSTITUTE($A99,"'","''")&amp;"')"&amp;", "&amp;"(SELECT ID_Usuario FROM Usuario WHERE NomeUsuario = '"&amp;SUBSTITUTE($B99,"'","''")&amp;"')"&amp;", "&amp;"'"&amp;SUBSTITUTE($C99,"'","''")&amp;"'"&amp;", "&amp;IF($D99="","SYSDATETIME()","'"&amp;SUBSTITUTE($D99,"'","''")&amp;"'")&amp;", "&amp;IF($E99="","'Pendente'","'"&amp;SUBSTITUTE($E99,"'","''")&amp;"'")&amp;", "&amp;IF($F99="","NULL","(SELECT ID_Usuario FROM Usuario WHERE NomeUsuario = '"&amp;SUBSTITUTE($F99,"'","''")&amp;"')")&amp;", "&amp;IF($G99="","NULL","'"&amp;SUBSTITUTE($G99,"'","''")&amp;"'")&amp;" WHERE NOT EXISTS (SELECT 1 FROM Comentarios c JOIN Posts p ON p.ID_Post = c.ID_Post JOIN Usuario u ON u.ID_Usuario = c.ID_Autor WHERE p.URL_Post = "&amp;"'"&amp;SUBSTITUTE($A99,"'","''")&amp;"'"&amp;" AND u.NomeUsuario = "&amp;"'"&amp;SUBSTITUTE($B99,"'","''")&amp;"'"&amp;" AND c.Texto = "&amp;"'"&amp;SUBSTITUTE($C99,"'","''")&amp;"'"&amp;");")</f>
        <v/>
      </c>
    </row>
    <row r="100" customFormat="false" ht="15" hidden="false" customHeight="false" outlineLevel="0" collapsed="false">
      <c r="A100" s="26"/>
      <c r="B100" s="26"/>
      <c r="C100" s="26"/>
      <c r="D100" s="28"/>
      <c r="E100" s="26"/>
      <c r="F100" s="26"/>
      <c r="G100" s="28"/>
      <c r="I100" s="25" t="str">
        <f aca="false">IF($A100="","","INSERT INTO Comentarios (ID_Post, ID_Autor, Texto, DataComentario, Status_Moderacao, ID_Moderador, DataModeracao) SELECT "&amp;"(SELECT ID_Post FROM Posts WHERE URL_Post = '"&amp;SUBSTITUTE($A100,"'","''")&amp;"')"&amp;", "&amp;"(SELECT ID_Usuario FROM Usuario WHERE NomeUsuario = '"&amp;SUBSTITUTE($B100,"'","''")&amp;"')"&amp;", "&amp;"'"&amp;SUBSTITUTE($C100,"'","''")&amp;"'"&amp;", "&amp;IF($D100="","SYSDATETIME()","'"&amp;SUBSTITUTE($D100,"'","''")&amp;"'")&amp;", "&amp;IF($E100="","'Pendente'","'"&amp;SUBSTITUTE($E100,"'","''")&amp;"'")&amp;", "&amp;IF($F100="","NULL","(SELECT ID_Usuario FROM Usuario WHERE NomeUsuario = '"&amp;SUBSTITUTE($F100,"'","''")&amp;"')")&amp;", "&amp;IF($G100="","NULL","'"&amp;SUBSTITUTE($G100,"'","''")&amp;"'")&amp;" WHERE NOT EXISTS (SELECT 1 FROM Comentarios c JOIN Posts p ON p.ID_Post = c.ID_Post JOIN Usuario u ON u.ID_Usuario = c.ID_Autor WHERE p.URL_Post = "&amp;"'"&amp;SUBSTITUTE($A100,"'","''")&amp;"'"&amp;" AND u.NomeUsuario = "&amp;"'"&amp;SUBSTITUTE($B100,"'","''")&amp;"'"&amp;" AND c.Texto = "&amp;"'"&amp;SUBSTITUTE($C100,"'","''")&amp;"'"&amp;");")</f>
        <v/>
      </c>
    </row>
    <row r="101" customFormat="false" ht="15" hidden="false" customHeight="false" outlineLevel="0" collapsed="false">
      <c r="A101" s="26"/>
      <c r="B101" s="26"/>
      <c r="C101" s="26"/>
      <c r="D101" s="28"/>
      <c r="E101" s="26"/>
      <c r="F101" s="26"/>
      <c r="G101" s="28"/>
      <c r="I101" s="25" t="str">
        <f aca="false">IF($A101="","","INSERT INTO Comentarios (ID_Post, ID_Autor, Texto, DataComentario, Status_Moderacao, ID_Moderador, DataModeracao) SELECT "&amp;"(SELECT ID_Post FROM Posts WHERE URL_Post = '"&amp;SUBSTITUTE($A101,"'","''")&amp;"')"&amp;", "&amp;"(SELECT ID_Usuario FROM Usuario WHERE NomeUsuario = '"&amp;SUBSTITUTE($B101,"'","''")&amp;"')"&amp;", "&amp;"'"&amp;SUBSTITUTE($C101,"'","''")&amp;"'"&amp;", "&amp;IF($D101="","SYSDATETIME()","'"&amp;SUBSTITUTE($D101,"'","''")&amp;"'")&amp;", "&amp;IF($E101="","'Pendente'","'"&amp;SUBSTITUTE($E101,"'","''")&amp;"'")&amp;", "&amp;IF($F101="","NULL","(SELECT ID_Usuario FROM Usuario WHERE NomeUsuario = '"&amp;SUBSTITUTE($F101,"'","''")&amp;"')")&amp;", "&amp;IF($G101="","NULL","'"&amp;SUBSTITUTE($G101,"'","''")&amp;"'")&amp;" WHERE NOT EXISTS (SELECT 1 FROM Comentarios c JOIN Posts p ON p.ID_Post = c.ID_Post JOIN Usuario u ON u.ID_Usuario = c.ID_Autor WHERE p.URL_Post = "&amp;"'"&amp;SUBSTITUTE($A101,"'","''")&amp;"'"&amp;" AND u.NomeUsuario = "&amp;"'"&amp;SUBSTITUTE($B101,"'","''")&amp;"'"&amp;" AND c.Texto = "&amp;"'"&amp;SUBSTITUTE($C101,"'","''")&amp;"'"&amp;");")</f>
        <v/>
      </c>
    </row>
    <row r="102" customFormat="false" ht="15" hidden="false" customHeight="false" outlineLevel="0" collapsed="false">
      <c r="A102" s="26"/>
      <c r="B102" s="26"/>
      <c r="C102" s="26"/>
      <c r="D102" s="28"/>
      <c r="E102" s="26"/>
      <c r="F102" s="26"/>
      <c r="G102" s="28"/>
      <c r="I102" s="25" t="str">
        <f aca="false">IF($A102="","","INSERT INTO Comentarios (ID_Post, ID_Autor, Texto, DataComentario, Status_Moderacao, ID_Moderador, DataModeracao) SELECT "&amp;"(SELECT ID_Post FROM Posts WHERE URL_Post = '"&amp;SUBSTITUTE($A102,"'","''")&amp;"')"&amp;", "&amp;"(SELECT ID_Usuario FROM Usuario WHERE NomeUsuario = '"&amp;SUBSTITUTE($B102,"'","''")&amp;"')"&amp;", "&amp;"'"&amp;SUBSTITUTE($C102,"'","''")&amp;"'"&amp;", "&amp;IF($D102="","SYSDATETIME()","'"&amp;SUBSTITUTE($D102,"'","''")&amp;"'")&amp;", "&amp;IF($E102="","'Pendente'","'"&amp;SUBSTITUTE($E102,"'","''")&amp;"'")&amp;", "&amp;IF($F102="","NULL","(SELECT ID_Usuario FROM Usuario WHERE NomeUsuario = '"&amp;SUBSTITUTE($F102,"'","''")&amp;"')")&amp;", "&amp;IF($G102="","NULL","'"&amp;SUBSTITUTE($G102,"'","''")&amp;"'")&amp;" WHERE NOT EXISTS (SELECT 1 FROM Comentarios c JOIN Posts p ON p.ID_Post = c.ID_Post JOIN Usuario u ON u.ID_Usuario = c.ID_Autor WHERE p.URL_Post = "&amp;"'"&amp;SUBSTITUTE($A102,"'","''")&amp;"'"&amp;" AND u.NomeUsuario = "&amp;"'"&amp;SUBSTITUTE($B102,"'","''")&amp;"'"&amp;" AND c.Texto = "&amp;"'"&amp;SUBSTITUTE($C102,"'","''")&amp;"'"&amp;");")</f>
        <v/>
      </c>
    </row>
    <row r="103" customFormat="false" ht="15" hidden="false" customHeight="false" outlineLevel="0" collapsed="false">
      <c r="A103" s="26"/>
      <c r="B103" s="26"/>
      <c r="C103" s="26"/>
      <c r="D103" s="28"/>
      <c r="E103" s="26"/>
      <c r="F103" s="26"/>
      <c r="G103" s="28"/>
      <c r="I103" s="25" t="str">
        <f aca="false">IF($A103="","","INSERT INTO Comentarios (ID_Post, ID_Autor, Texto, DataComentario, Status_Moderacao, ID_Moderador, DataModeracao) SELECT "&amp;"(SELECT ID_Post FROM Posts WHERE URL_Post = '"&amp;SUBSTITUTE($A103,"'","''")&amp;"')"&amp;", "&amp;"(SELECT ID_Usuario FROM Usuario WHERE NomeUsuario = '"&amp;SUBSTITUTE($B103,"'","''")&amp;"')"&amp;", "&amp;"'"&amp;SUBSTITUTE($C103,"'","''")&amp;"'"&amp;", "&amp;IF($D103="","SYSDATETIME()","'"&amp;SUBSTITUTE($D103,"'","''")&amp;"'")&amp;", "&amp;IF($E103="","'Pendente'","'"&amp;SUBSTITUTE($E103,"'","''")&amp;"'")&amp;", "&amp;IF($F103="","NULL","(SELECT ID_Usuario FROM Usuario WHERE NomeUsuario = '"&amp;SUBSTITUTE($F103,"'","''")&amp;"')")&amp;", "&amp;IF($G103="","NULL","'"&amp;SUBSTITUTE($G103,"'","''")&amp;"'")&amp;" WHERE NOT EXISTS (SELECT 1 FROM Comentarios c JOIN Posts p ON p.ID_Post = c.ID_Post JOIN Usuario u ON u.ID_Usuario = c.ID_Autor WHERE p.URL_Post = "&amp;"'"&amp;SUBSTITUTE($A103,"'","''")&amp;"'"&amp;" AND u.NomeUsuario = "&amp;"'"&amp;SUBSTITUTE($B103,"'","''")&amp;"'"&amp;" AND c.Texto = "&amp;"'"&amp;SUBSTITUTE($C103,"'","''")&amp;"'"&amp;");")</f>
        <v/>
      </c>
    </row>
    <row r="104" customFormat="false" ht="15" hidden="false" customHeight="false" outlineLevel="0" collapsed="false">
      <c r="A104" s="26"/>
      <c r="B104" s="26"/>
      <c r="C104" s="26"/>
      <c r="D104" s="28"/>
      <c r="E104" s="26"/>
      <c r="F104" s="26"/>
      <c r="G104" s="28"/>
      <c r="I104" s="25" t="str">
        <f aca="false">IF($A104="","","INSERT INTO Comentarios (ID_Post, ID_Autor, Texto, DataComentario, Status_Moderacao, ID_Moderador, DataModeracao) SELECT "&amp;"(SELECT ID_Post FROM Posts WHERE URL_Post = '"&amp;SUBSTITUTE($A104,"'","''")&amp;"')"&amp;", "&amp;"(SELECT ID_Usuario FROM Usuario WHERE NomeUsuario = '"&amp;SUBSTITUTE($B104,"'","''")&amp;"')"&amp;", "&amp;"'"&amp;SUBSTITUTE($C104,"'","''")&amp;"'"&amp;", "&amp;IF($D104="","SYSDATETIME()","'"&amp;SUBSTITUTE($D104,"'","''")&amp;"'")&amp;", "&amp;IF($E104="","'Pendente'","'"&amp;SUBSTITUTE($E104,"'","''")&amp;"'")&amp;", "&amp;IF($F104="","NULL","(SELECT ID_Usuario FROM Usuario WHERE NomeUsuario = '"&amp;SUBSTITUTE($F104,"'","''")&amp;"')")&amp;", "&amp;IF($G104="","NULL","'"&amp;SUBSTITUTE($G104,"'","''")&amp;"'")&amp;" WHERE NOT EXISTS (SELECT 1 FROM Comentarios c JOIN Posts p ON p.ID_Post = c.ID_Post JOIN Usuario u ON u.ID_Usuario = c.ID_Autor WHERE p.URL_Post = "&amp;"'"&amp;SUBSTITUTE($A104,"'","''")&amp;"'"&amp;" AND u.NomeUsuario = "&amp;"'"&amp;SUBSTITUTE($B104,"'","''")&amp;"'"&amp;" AND c.Texto = "&amp;"'"&amp;SUBSTITUTE($C104,"'","''")&amp;"'"&amp;");")</f>
        <v/>
      </c>
    </row>
    <row r="105" customFormat="false" ht="15" hidden="false" customHeight="false" outlineLevel="0" collapsed="false">
      <c r="A105" s="26"/>
      <c r="B105" s="26"/>
      <c r="C105" s="26"/>
      <c r="D105" s="28"/>
      <c r="E105" s="26"/>
      <c r="F105" s="26"/>
      <c r="G105" s="28"/>
      <c r="I105" s="25" t="str">
        <f aca="false">IF($A105="","","INSERT INTO Comentarios (ID_Post, ID_Autor, Texto, DataComentario, Status_Moderacao, ID_Moderador, DataModeracao) SELECT "&amp;"(SELECT ID_Post FROM Posts WHERE URL_Post = '"&amp;SUBSTITUTE($A105,"'","''")&amp;"')"&amp;", "&amp;"(SELECT ID_Usuario FROM Usuario WHERE NomeUsuario = '"&amp;SUBSTITUTE($B105,"'","''")&amp;"')"&amp;", "&amp;"'"&amp;SUBSTITUTE($C105,"'","''")&amp;"'"&amp;", "&amp;IF($D105="","SYSDATETIME()","'"&amp;SUBSTITUTE($D105,"'","''")&amp;"'")&amp;", "&amp;IF($E105="","'Pendente'","'"&amp;SUBSTITUTE($E105,"'","''")&amp;"'")&amp;", "&amp;IF($F105="","NULL","(SELECT ID_Usuario FROM Usuario WHERE NomeUsuario = '"&amp;SUBSTITUTE($F105,"'","''")&amp;"')")&amp;", "&amp;IF($G105="","NULL","'"&amp;SUBSTITUTE($G105,"'","''")&amp;"'")&amp;" WHERE NOT EXISTS (SELECT 1 FROM Comentarios c JOIN Posts p ON p.ID_Post = c.ID_Post JOIN Usuario u ON u.ID_Usuario = c.ID_Autor WHERE p.URL_Post = "&amp;"'"&amp;SUBSTITUTE($A105,"'","''")&amp;"'"&amp;" AND u.NomeUsuario = "&amp;"'"&amp;SUBSTITUTE($B105,"'","''")&amp;"'"&amp;" AND c.Texto = "&amp;"'"&amp;SUBSTITUTE($C105,"'","''")&amp;"'"&amp;");")</f>
        <v/>
      </c>
    </row>
    <row r="106" customFormat="false" ht="15" hidden="false" customHeight="false" outlineLevel="0" collapsed="false">
      <c r="A106" s="26"/>
      <c r="B106" s="26"/>
      <c r="C106" s="26"/>
      <c r="D106" s="28"/>
      <c r="E106" s="26"/>
      <c r="F106" s="26"/>
      <c r="G106" s="28"/>
      <c r="I106" s="25" t="str">
        <f aca="false">IF($A106="","","INSERT INTO Comentarios (ID_Post, ID_Autor, Texto, DataComentario, Status_Moderacao, ID_Moderador, DataModeracao) SELECT "&amp;"(SELECT ID_Post FROM Posts WHERE URL_Post = '"&amp;SUBSTITUTE($A106,"'","''")&amp;"')"&amp;", "&amp;"(SELECT ID_Usuario FROM Usuario WHERE NomeUsuario = '"&amp;SUBSTITUTE($B106,"'","''")&amp;"')"&amp;", "&amp;"'"&amp;SUBSTITUTE($C106,"'","''")&amp;"'"&amp;", "&amp;IF($D106="","SYSDATETIME()","'"&amp;SUBSTITUTE($D106,"'","''")&amp;"'")&amp;", "&amp;IF($E106="","'Pendente'","'"&amp;SUBSTITUTE($E106,"'","''")&amp;"'")&amp;", "&amp;IF($F106="","NULL","(SELECT ID_Usuario FROM Usuario WHERE NomeUsuario = '"&amp;SUBSTITUTE($F106,"'","''")&amp;"')")&amp;", "&amp;IF($G106="","NULL","'"&amp;SUBSTITUTE($G106,"'","''")&amp;"'")&amp;" WHERE NOT EXISTS (SELECT 1 FROM Comentarios c JOIN Posts p ON p.ID_Post = c.ID_Post JOIN Usuario u ON u.ID_Usuario = c.ID_Autor WHERE p.URL_Post = "&amp;"'"&amp;SUBSTITUTE($A106,"'","''")&amp;"'"&amp;" AND u.NomeUsuario = "&amp;"'"&amp;SUBSTITUTE($B106,"'","''")&amp;"'"&amp;" AND c.Texto = "&amp;"'"&amp;SUBSTITUTE($C106,"'","''")&amp;"'"&amp;");")</f>
        <v/>
      </c>
    </row>
    <row r="107" customFormat="false" ht="15" hidden="false" customHeight="false" outlineLevel="0" collapsed="false">
      <c r="A107" s="26"/>
      <c r="B107" s="26"/>
      <c r="C107" s="26"/>
      <c r="D107" s="28"/>
      <c r="E107" s="26"/>
      <c r="F107" s="26"/>
      <c r="G107" s="28"/>
      <c r="I107" s="25" t="str">
        <f aca="false">IF($A107="","","INSERT INTO Comentarios (ID_Post, ID_Autor, Texto, DataComentario, Status_Moderacao, ID_Moderador, DataModeracao) SELECT "&amp;"(SELECT ID_Post FROM Posts WHERE URL_Post = '"&amp;SUBSTITUTE($A107,"'","''")&amp;"')"&amp;", "&amp;"(SELECT ID_Usuario FROM Usuario WHERE NomeUsuario = '"&amp;SUBSTITUTE($B107,"'","''")&amp;"')"&amp;", "&amp;"'"&amp;SUBSTITUTE($C107,"'","''")&amp;"'"&amp;", "&amp;IF($D107="","SYSDATETIME()","'"&amp;SUBSTITUTE($D107,"'","''")&amp;"'")&amp;", "&amp;IF($E107="","'Pendente'","'"&amp;SUBSTITUTE($E107,"'","''")&amp;"'")&amp;", "&amp;IF($F107="","NULL","(SELECT ID_Usuario FROM Usuario WHERE NomeUsuario = '"&amp;SUBSTITUTE($F107,"'","''")&amp;"')")&amp;", "&amp;IF($G107="","NULL","'"&amp;SUBSTITUTE($G107,"'","''")&amp;"'")&amp;" WHERE NOT EXISTS (SELECT 1 FROM Comentarios c JOIN Posts p ON p.ID_Post = c.ID_Post JOIN Usuario u ON u.ID_Usuario = c.ID_Autor WHERE p.URL_Post = "&amp;"'"&amp;SUBSTITUTE($A107,"'","''")&amp;"'"&amp;" AND u.NomeUsuario = "&amp;"'"&amp;SUBSTITUTE($B107,"'","''")&amp;"'"&amp;" AND c.Texto = "&amp;"'"&amp;SUBSTITUTE($C107,"'","''")&amp;"'"&amp;");")</f>
        <v/>
      </c>
    </row>
    <row r="108" customFormat="false" ht="15" hidden="false" customHeight="false" outlineLevel="0" collapsed="false">
      <c r="A108" s="26"/>
      <c r="B108" s="26"/>
      <c r="C108" s="26"/>
      <c r="D108" s="28"/>
      <c r="E108" s="26"/>
      <c r="F108" s="26"/>
      <c r="G108" s="28"/>
      <c r="I108" s="25" t="str">
        <f aca="false">IF($A108="","","INSERT INTO Comentarios (ID_Post, ID_Autor, Texto, DataComentario, Status_Moderacao, ID_Moderador, DataModeracao) SELECT "&amp;"(SELECT ID_Post FROM Posts WHERE URL_Post = '"&amp;SUBSTITUTE($A108,"'","''")&amp;"')"&amp;", "&amp;"(SELECT ID_Usuario FROM Usuario WHERE NomeUsuario = '"&amp;SUBSTITUTE($B108,"'","''")&amp;"')"&amp;", "&amp;"'"&amp;SUBSTITUTE($C108,"'","''")&amp;"'"&amp;", "&amp;IF($D108="","SYSDATETIME()","'"&amp;SUBSTITUTE($D108,"'","''")&amp;"'")&amp;", "&amp;IF($E108="","'Pendente'","'"&amp;SUBSTITUTE($E108,"'","''")&amp;"'")&amp;", "&amp;IF($F108="","NULL","(SELECT ID_Usuario FROM Usuario WHERE NomeUsuario = '"&amp;SUBSTITUTE($F108,"'","''")&amp;"')")&amp;", "&amp;IF($G108="","NULL","'"&amp;SUBSTITUTE($G108,"'","''")&amp;"'")&amp;" WHERE NOT EXISTS (SELECT 1 FROM Comentarios c JOIN Posts p ON p.ID_Post = c.ID_Post JOIN Usuario u ON u.ID_Usuario = c.ID_Autor WHERE p.URL_Post = "&amp;"'"&amp;SUBSTITUTE($A108,"'","''")&amp;"'"&amp;" AND u.NomeUsuario = "&amp;"'"&amp;SUBSTITUTE($B108,"'","''")&amp;"'"&amp;" AND c.Texto = "&amp;"'"&amp;SUBSTITUTE($C108,"'","''")&amp;"'"&amp;");")</f>
        <v/>
      </c>
    </row>
    <row r="109" customFormat="false" ht="15" hidden="false" customHeight="false" outlineLevel="0" collapsed="false">
      <c r="A109" s="26"/>
      <c r="B109" s="26"/>
      <c r="C109" s="26"/>
      <c r="D109" s="28"/>
      <c r="E109" s="26"/>
      <c r="F109" s="26"/>
      <c r="G109" s="28"/>
      <c r="I109" s="25" t="str">
        <f aca="false">IF($A109="","","INSERT INTO Comentarios (ID_Post, ID_Autor, Texto, DataComentario, Status_Moderacao, ID_Moderador, DataModeracao) SELECT "&amp;"(SELECT ID_Post FROM Posts WHERE URL_Post = '"&amp;SUBSTITUTE($A109,"'","''")&amp;"')"&amp;", "&amp;"(SELECT ID_Usuario FROM Usuario WHERE NomeUsuario = '"&amp;SUBSTITUTE($B109,"'","''")&amp;"')"&amp;", "&amp;"'"&amp;SUBSTITUTE($C109,"'","''")&amp;"'"&amp;", "&amp;IF($D109="","SYSDATETIME()","'"&amp;SUBSTITUTE($D109,"'","''")&amp;"'")&amp;", "&amp;IF($E109="","'Pendente'","'"&amp;SUBSTITUTE($E109,"'","''")&amp;"'")&amp;", "&amp;IF($F109="","NULL","(SELECT ID_Usuario FROM Usuario WHERE NomeUsuario = '"&amp;SUBSTITUTE($F109,"'","''")&amp;"')")&amp;", "&amp;IF($G109="","NULL","'"&amp;SUBSTITUTE($G109,"'","''")&amp;"'")&amp;" WHERE NOT EXISTS (SELECT 1 FROM Comentarios c JOIN Posts p ON p.ID_Post = c.ID_Post JOIN Usuario u ON u.ID_Usuario = c.ID_Autor WHERE p.URL_Post = "&amp;"'"&amp;SUBSTITUTE($A109,"'","''")&amp;"'"&amp;" AND u.NomeUsuario = "&amp;"'"&amp;SUBSTITUTE($B109,"'","''")&amp;"'"&amp;" AND c.Texto = "&amp;"'"&amp;SUBSTITUTE($C109,"'","''")&amp;"'"&amp;");")</f>
        <v/>
      </c>
    </row>
    <row r="110" customFormat="false" ht="15" hidden="false" customHeight="false" outlineLevel="0" collapsed="false">
      <c r="A110" s="26"/>
      <c r="B110" s="26"/>
      <c r="C110" s="26"/>
      <c r="D110" s="28"/>
      <c r="E110" s="26"/>
      <c r="F110" s="26"/>
      <c r="G110" s="28"/>
      <c r="I110" s="25" t="str">
        <f aca="false">IF($A110="","","INSERT INTO Comentarios (ID_Post, ID_Autor, Texto, DataComentario, Status_Moderacao, ID_Moderador, DataModeracao) SELECT "&amp;"(SELECT ID_Post FROM Posts WHERE URL_Post = '"&amp;SUBSTITUTE($A110,"'","''")&amp;"')"&amp;", "&amp;"(SELECT ID_Usuario FROM Usuario WHERE NomeUsuario = '"&amp;SUBSTITUTE($B110,"'","''")&amp;"')"&amp;", "&amp;"'"&amp;SUBSTITUTE($C110,"'","''")&amp;"'"&amp;", "&amp;IF($D110="","SYSDATETIME()","'"&amp;SUBSTITUTE($D110,"'","''")&amp;"'")&amp;", "&amp;IF($E110="","'Pendente'","'"&amp;SUBSTITUTE($E110,"'","''")&amp;"'")&amp;", "&amp;IF($F110="","NULL","(SELECT ID_Usuario FROM Usuario WHERE NomeUsuario = '"&amp;SUBSTITUTE($F110,"'","''")&amp;"')")&amp;", "&amp;IF($G110="","NULL","'"&amp;SUBSTITUTE($G110,"'","''")&amp;"'")&amp;" WHERE NOT EXISTS (SELECT 1 FROM Comentarios c JOIN Posts p ON p.ID_Post = c.ID_Post JOIN Usuario u ON u.ID_Usuario = c.ID_Autor WHERE p.URL_Post = "&amp;"'"&amp;SUBSTITUTE($A110,"'","''")&amp;"'"&amp;" AND u.NomeUsuario = "&amp;"'"&amp;SUBSTITUTE($B110,"'","''")&amp;"'"&amp;" AND c.Texto = "&amp;"'"&amp;SUBSTITUTE($C110,"'","''")&amp;"'"&amp;");")</f>
        <v/>
      </c>
    </row>
    <row r="111" customFormat="false" ht="15" hidden="false" customHeight="false" outlineLevel="0" collapsed="false">
      <c r="A111" s="26"/>
      <c r="B111" s="26"/>
      <c r="C111" s="26"/>
      <c r="D111" s="28"/>
      <c r="E111" s="26"/>
      <c r="F111" s="26"/>
      <c r="G111" s="28"/>
      <c r="I111" s="25" t="str">
        <f aca="false">IF($A111="","","INSERT INTO Comentarios (ID_Post, ID_Autor, Texto, DataComentario, Status_Moderacao, ID_Moderador, DataModeracao) SELECT "&amp;"(SELECT ID_Post FROM Posts WHERE URL_Post = '"&amp;SUBSTITUTE($A111,"'","''")&amp;"')"&amp;", "&amp;"(SELECT ID_Usuario FROM Usuario WHERE NomeUsuario = '"&amp;SUBSTITUTE($B111,"'","''")&amp;"')"&amp;", "&amp;"'"&amp;SUBSTITUTE($C111,"'","''")&amp;"'"&amp;", "&amp;IF($D111="","SYSDATETIME()","'"&amp;SUBSTITUTE($D111,"'","''")&amp;"'")&amp;", "&amp;IF($E111="","'Pendente'","'"&amp;SUBSTITUTE($E111,"'","''")&amp;"'")&amp;", "&amp;IF($F111="","NULL","(SELECT ID_Usuario FROM Usuario WHERE NomeUsuario = '"&amp;SUBSTITUTE($F111,"'","''")&amp;"')")&amp;", "&amp;IF($G111="","NULL","'"&amp;SUBSTITUTE($G111,"'","''")&amp;"'")&amp;" WHERE NOT EXISTS (SELECT 1 FROM Comentarios c JOIN Posts p ON p.ID_Post = c.ID_Post JOIN Usuario u ON u.ID_Usuario = c.ID_Autor WHERE p.URL_Post = "&amp;"'"&amp;SUBSTITUTE($A111,"'","''")&amp;"'"&amp;" AND u.NomeUsuario = "&amp;"'"&amp;SUBSTITUTE($B111,"'","''")&amp;"'"&amp;" AND c.Texto = "&amp;"'"&amp;SUBSTITUTE($C111,"'","''")&amp;"'"&amp;");")</f>
        <v/>
      </c>
    </row>
    <row r="112" customFormat="false" ht="15" hidden="false" customHeight="false" outlineLevel="0" collapsed="false">
      <c r="A112" s="26"/>
      <c r="B112" s="26"/>
      <c r="C112" s="26"/>
      <c r="D112" s="28"/>
      <c r="E112" s="26"/>
      <c r="F112" s="26"/>
      <c r="G112" s="28"/>
      <c r="I112" s="25" t="str">
        <f aca="false">IF($A112="","","INSERT INTO Comentarios (ID_Post, ID_Autor, Texto, DataComentario, Status_Moderacao, ID_Moderador, DataModeracao) SELECT "&amp;"(SELECT ID_Post FROM Posts WHERE URL_Post = '"&amp;SUBSTITUTE($A112,"'","''")&amp;"')"&amp;", "&amp;"(SELECT ID_Usuario FROM Usuario WHERE NomeUsuario = '"&amp;SUBSTITUTE($B112,"'","''")&amp;"')"&amp;", "&amp;"'"&amp;SUBSTITUTE($C112,"'","''")&amp;"'"&amp;", "&amp;IF($D112="","SYSDATETIME()","'"&amp;SUBSTITUTE($D112,"'","''")&amp;"'")&amp;", "&amp;IF($E112="","'Pendente'","'"&amp;SUBSTITUTE($E112,"'","''")&amp;"'")&amp;", "&amp;IF($F112="","NULL","(SELECT ID_Usuario FROM Usuario WHERE NomeUsuario = '"&amp;SUBSTITUTE($F112,"'","''")&amp;"')")&amp;", "&amp;IF($G112="","NULL","'"&amp;SUBSTITUTE($G112,"'","''")&amp;"'")&amp;" WHERE NOT EXISTS (SELECT 1 FROM Comentarios c JOIN Posts p ON p.ID_Post = c.ID_Post JOIN Usuario u ON u.ID_Usuario = c.ID_Autor WHERE p.URL_Post = "&amp;"'"&amp;SUBSTITUTE($A112,"'","''")&amp;"'"&amp;" AND u.NomeUsuario = "&amp;"'"&amp;SUBSTITUTE($B112,"'","''")&amp;"'"&amp;" AND c.Texto = "&amp;"'"&amp;SUBSTITUTE($C112,"'","''")&amp;"'"&amp;");")</f>
        <v/>
      </c>
    </row>
    <row r="113" customFormat="false" ht="15" hidden="false" customHeight="false" outlineLevel="0" collapsed="false">
      <c r="A113" s="26"/>
      <c r="B113" s="26"/>
      <c r="C113" s="26"/>
      <c r="D113" s="28"/>
      <c r="E113" s="26"/>
      <c r="F113" s="26"/>
      <c r="G113" s="28"/>
      <c r="I113" s="25" t="str">
        <f aca="false">IF($A113="","","INSERT INTO Comentarios (ID_Post, ID_Autor, Texto, DataComentario, Status_Moderacao, ID_Moderador, DataModeracao) SELECT "&amp;"(SELECT ID_Post FROM Posts WHERE URL_Post = '"&amp;SUBSTITUTE($A113,"'","''")&amp;"')"&amp;", "&amp;"(SELECT ID_Usuario FROM Usuario WHERE NomeUsuario = '"&amp;SUBSTITUTE($B113,"'","''")&amp;"')"&amp;", "&amp;"'"&amp;SUBSTITUTE($C113,"'","''")&amp;"'"&amp;", "&amp;IF($D113="","SYSDATETIME()","'"&amp;SUBSTITUTE($D113,"'","''")&amp;"'")&amp;", "&amp;IF($E113="","'Pendente'","'"&amp;SUBSTITUTE($E113,"'","''")&amp;"'")&amp;", "&amp;IF($F113="","NULL","(SELECT ID_Usuario FROM Usuario WHERE NomeUsuario = '"&amp;SUBSTITUTE($F113,"'","''")&amp;"')")&amp;", "&amp;IF($G113="","NULL","'"&amp;SUBSTITUTE($G113,"'","''")&amp;"'")&amp;" WHERE NOT EXISTS (SELECT 1 FROM Comentarios c JOIN Posts p ON p.ID_Post = c.ID_Post JOIN Usuario u ON u.ID_Usuario = c.ID_Autor WHERE p.URL_Post = "&amp;"'"&amp;SUBSTITUTE($A113,"'","''")&amp;"'"&amp;" AND u.NomeUsuario = "&amp;"'"&amp;SUBSTITUTE($B113,"'","''")&amp;"'"&amp;" AND c.Texto = "&amp;"'"&amp;SUBSTITUTE($C113,"'","''")&amp;"'"&amp;");")</f>
        <v/>
      </c>
    </row>
    <row r="114" customFormat="false" ht="15" hidden="false" customHeight="false" outlineLevel="0" collapsed="false">
      <c r="A114" s="26"/>
      <c r="B114" s="26"/>
      <c r="C114" s="26"/>
      <c r="D114" s="28"/>
      <c r="E114" s="26"/>
      <c r="F114" s="26"/>
      <c r="G114" s="28"/>
      <c r="I114" s="25" t="str">
        <f aca="false">IF($A114="","","INSERT INTO Comentarios (ID_Post, ID_Autor, Texto, DataComentario, Status_Moderacao, ID_Moderador, DataModeracao) SELECT "&amp;"(SELECT ID_Post FROM Posts WHERE URL_Post = '"&amp;SUBSTITUTE($A114,"'","''")&amp;"')"&amp;", "&amp;"(SELECT ID_Usuario FROM Usuario WHERE NomeUsuario = '"&amp;SUBSTITUTE($B114,"'","''")&amp;"')"&amp;", "&amp;"'"&amp;SUBSTITUTE($C114,"'","''")&amp;"'"&amp;", "&amp;IF($D114="","SYSDATETIME()","'"&amp;SUBSTITUTE($D114,"'","''")&amp;"'")&amp;", "&amp;IF($E114="","'Pendente'","'"&amp;SUBSTITUTE($E114,"'","''")&amp;"'")&amp;", "&amp;IF($F114="","NULL","(SELECT ID_Usuario FROM Usuario WHERE NomeUsuario = '"&amp;SUBSTITUTE($F114,"'","''")&amp;"')")&amp;", "&amp;IF($G114="","NULL","'"&amp;SUBSTITUTE($G114,"'","''")&amp;"'")&amp;" WHERE NOT EXISTS (SELECT 1 FROM Comentarios c JOIN Posts p ON p.ID_Post = c.ID_Post JOIN Usuario u ON u.ID_Usuario = c.ID_Autor WHERE p.URL_Post = "&amp;"'"&amp;SUBSTITUTE($A114,"'","''")&amp;"'"&amp;" AND u.NomeUsuario = "&amp;"'"&amp;SUBSTITUTE($B114,"'","''")&amp;"'"&amp;" AND c.Texto = "&amp;"'"&amp;SUBSTITUTE($C114,"'","''")&amp;"'"&amp;");")</f>
        <v/>
      </c>
    </row>
    <row r="115" customFormat="false" ht="15" hidden="false" customHeight="false" outlineLevel="0" collapsed="false">
      <c r="A115" s="26"/>
      <c r="B115" s="26"/>
      <c r="C115" s="26"/>
      <c r="D115" s="28"/>
      <c r="E115" s="26"/>
      <c r="F115" s="26"/>
      <c r="G115" s="28"/>
      <c r="I115" s="25" t="str">
        <f aca="false">IF($A115="","","INSERT INTO Comentarios (ID_Post, ID_Autor, Texto, DataComentario, Status_Moderacao, ID_Moderador, DataModeracao) SELECT "&amp;"(SELECT ID_Post FROM Posts WHERE URL_Post = '"&amp;SUBSTITUTE($A115,"'","''")&amp;"')"&amp;", "&amp;"(SELECT ID_Usuario FROM Usuario WHERE NomeUsuario = '"&amp;SUBSTITUTE($B115,"'","''")&amp;"')"&amp;", "&amp;"'"&amp;SUBSTITUTE($C115,"'","''")&amp;"'"&amp;", "&amp;IF($D115="","SYSDATETIME()","'"&amp;SUBSTITUTE($D115,"'","''")&amp;"'")&amp;", "&amp;IF($E115="","'Pendente'","'"&amp;SUBSTITUTE($E115,"'","''")&amp;"'")&amp;", "&amp;IF($F115="","NULL","(SELECT ID_Usuario FROM Usuario WHERE NomeUsuario = '"&amp;SUBSTITUTE($F115,"'","''")&amp;"')")&amp;", "&amp;IF($G115="","NULL","'"&amp;SUBSTITUTE($G115,"'","''")&amp;"'")&amp;" WHERE NOT EXISTS (SELECT 1 FROM Comentarios c JOIN Posts p ON p.ID_Post = c.ID_Post JOIN Usuario u ON u.ID_Usuario = c.ID_Autor WHERE p.URL_Post = "&amp;"'"&amp;SUBSTITUTE($A115,"'","''")&amp;"'"&amp;" AND u.NomeUsuario = "&amp;"'"&amp;SUBSTITUTE($B115,"'","''")&amp;"'"&amp;" AND c.Texto = "&amp;"'"&amp;SUBSTITUTE($C115,"'","''")&amp;"'"&amp;");")</f>
        <v/>
      </c>
    </row>
    <row r="116" customFormat="false" ht="15" hidden="false" customHeight="false" outlineLevel="0" collapsed="false">
      <c r="A116" s="26"/>
      <c r="B116" s="26"/>
      <c r="C116" s="26"/>
      <c r="D116" s="28"/>
      <c r="E116" s="26"/>
      <c r="F116" s="26"/>
      <c r="G116" s="28"/>
      <c r="I116" s="25" t="str">
        <f aca="false">IF($A116="","","INSERT INTO Comentarios (ID_Post, ID_Autor, Texto, DataComentario, Status_Moderacao, ID_Moderador, DataModeracao) SELECT "&amp;"(SELECT ID_Post FROM Posts WHERE URL_Post = '"&amp;SUBSTITUTE($A116,"'","''")&amp;"')"&amp;", "&amp;"(SELECT ID_Usuario FROM Usuario WHERE NomeUsuario = '"&amp;SUBSTITUTE($B116,"'","''")&amp;"')"&amp;", "&amp;"'"&amp;SUBSTITUTE($C116,"'","''")&amp;"'"&amp;", "&amp;IF($D116="","SYSDATETIME()","'"&amp;SUBSTITUTE($D116,"'","''")&amp;"'")&amp;", "&amp;IF($E116="","'Pendente'","'"&amp;SUBSTITUTE($E116,"'","''")&amp;"'")&amp;", "&amp;IF($F116="","NULL","(SELECT ID_Usuario FROM Usuario WHERE NomeUsuario = '"&amp;SUBSTITUTE($F116,"'","''")&amp;"')")&amp;", "&amp;IF($G116="","NULL","'"&amp;SUBSTITUTE($G116,"'","''")&amp;"'")&amp;" WHERE NOT EXISTS (SELECT 1 FROM Comentarios c JOIN Posts p ON p.ID_Post = c.ID_Post JOIN Usuario u ON u.ID_Usuario = c.ID_Autor WHERE p.URL_Post = "&amp;"'"&amp;SUBSTITUTE($A116,"'","''")&amp;"'"&amp;" AND u.NomeUsuario = "&amp;"'"&amp;SUBSTITUTE($B116,"'","''")&amp;"'"&amp;" AND c.Texto = "&amp;"'"&amp;SUBSTITUTE($C116,"'","''")&amp;"'"&amp;");")</f>
        <v/>
      </c>
    </row>
    <row r="117" customFormat="false" ht="15" hidden="false" customHeight="false" outlineLevel="0" collapsed="false">
      <c r="A117" s="26"/>
      <c r="B117" s="26"/>
      <c r="C117" s="26"/>
      <c r="D117" s="28"/>
      <c r="E117" s="26"/>
      <c r="F117" s="26"/>
      <c r="G117" s="28"/>
      <c r="I117" s="25" t="str">
        <f aca="false">IF($A117="","","INSERT INTO Comentarios (ID_Post, ID_Autor, Texto, DataComentario, Status_Moderacao, ID_Moderador, DataModeracao) SELECT "&amp;"(SELECT ID_Post FROM Posts WHERE URL_Post = '"&amp;SUBSTITUTE($A117,"'","''")&amp;"')"&amp;", "&amp;"(SELECT ID_Usuario FROM Usuario WHERE NomeUsuario = '"&amp;SUBSTITUTE($B117,"'","''")&amp;"')"&amp;", "&amp;"'"&amp;SUBSTITUTE($C117,"'","''")&amp;"'"&amp;", "&amp;IF($D117="","SYSDATETIME()","'"&amp;SUBSTITUTE($D117,"'","''")&amp;"'")&amp;", "&amp;IF($E117="","'Pendente'","'"&amp;SUBSTITUTE($E117,"'","''")&amp;"'")&amp;", "&amp;IF($F117="","NULL","(SELECT ID_Usuario FROM Usuario WHERE NomeUsuario = '"&amp;SUBSTITUTE($F117,"'","''")&amp;"')")&amp;", "&amp;IF($G117="","NULL","'"&amp;SUBSTITUTE($G117,"'","''")&amp;"'")&amp;" WHERE NOT EXISTS (SELECT 1 FROM Comentarios c JOIN Posts p ON p.ID_Post = c.ID_Post JOIN Usuario u ON u.ID_Usuario = c.ID_Autor WHERE p.URL_Post = "&amp;"'"&amp;SUBSTITUTE($A117,"'","''")&amp;"'"&amp;" AND u.NomeUsuario = "&amp;"'"&amp;SUBSTITUTE($B117,"'","''")&amp;"'"&amp;" AND c.Texto = "&amp;"'"&amp;SUBSTITUTE($C117,"'","''")&amp;"'"&amp;");")</f>
        <v/>
      </c>
    </row>
    <row r="118" customFormat="false" ht="15" hidden="false" customHeight="false" outlineLevel="0" collapsed="false">
      <c r="A118" s="26"/>
      <c r="B118" s="26"/>
      <c r="C118" s="26"/>
      <c r="D118" s="28"/>
      <c r="E118" s="26"/>
      <c r="F118" s="26"/>
      <c r="G118" s="28"/>
      <c r="I118" s="25" t="str">
        <f aca="false">IF($A118="","","INSERT INTO Comentarios (ID_Post, ID_Autor, Texto, DataComentario, Status_Moderacao, ID_Moderador, DataModeracao) SELECT "&amp;"(SELECT ID_Post FROM Posts WHERE URL_Post = '"&amp;SUBSTITUTE($A118,"'","''")&amp;"')"&amp;", "&amp;"(SELECT ID_Usuario FROM Usuario WHERE NomeUsuario = '"&amp;SUBSTITUTE($B118,"'","''")&amp;"')"&amp;", "&amp;"'"&amp;SUBSTITUTE($C118,"'","''")&amp;"'"&amp;", "&amp;IF($D118="","SYSDATETIME()","'"&amp;SUBSTITUTE($D118,"'","''")&amp;"'")&amp;", "&amp;IF($E118="","'Pendente'","'"&amp;SUBSTITUTE($E118,"'","''")&amp;"'")&amp;", "&amp;IF($F118="","NULL","(SELECT ID_Usuario FROM Usuario WHERE NomeUsuario = '"&amp;SUBSTITUTE($F118,"'","''")&amp;"')")&amp;", "&amp;IF($G118="","NULL","'"&amp;SUBSTITUTE($G118,"'","''")&amp;"'")&amp;" WHERE NOT EXISTS (SELECT 1 FROM Comentarios c JOIN Posts p ON p.ID_Post = c.ID_Post JOIN Usuario u ON u.ID_Usuario = c.ID_Autor WHERE p.URL_Post = "&amp;"'"&amp;SUBSTITUTE($A118,"'","''")&amp;"'"&amp;" AND u.NomeUsuario = "&amp;"'"&amp;SUBSTITUTE($B118,"'","''")&amp;"'"&amp;" AND c.Texto = "&amp;"'"&amp;SUBSTITUTE($C118,"'","''")&amp;"'"&amp;");")</f>
        <v/>
      </c>
    </row>
    <row r="119" customFormat="false" ht="15" hidden="false" customHeight="false" outlineLevel="0" collapsed="false">
      <c r="A119" s="26"/>
      <c r="B119" s="26"/>
      <c r="C119" s="26"/>
      <c r="D119" s="28"/>
      <c r="E119" s="26"/>
      <c r="F119" s="26"/>
      <c r="G119" s="28"/>
      <c r="I119" s="25" t="str">
        <f aca="false">IF($A119="","","INSERT INTO Comentarios (ID_Post, ID_Autor, Texto, DataComentario, Status_Moderacao, ID_Moderador, DataModeracao) SELECT "&amp;"(SELECT ID_Post FROM Posts WHERE URL_Post = '"&amp;SUBSTITUTE($A119,"'","''")&amp;"')"&amp;", "&amp;"(SELECT ID_Usuario FROM Usuario WHERE NomeUsuario = '"&amp;SUBSTITUTE($B119,"'","''")&amp;"')"&amp;", "&amp;"'"&amp;SUBSTITUTE($C119,"'","''")&amp;"'"&amp;", "&amp;IF($D119="","SYSDATETIME()","'"&amp;SUBSTITUTE($D119,"'","''")&amp;"'")&amp;", "&amp;IF($E119="","'Pendente'","'"&amp;SUBSTITUTE($E119,"'","''")&amp;"'")&amp;", "&amp;IF($F119="","NULL","(SELECT ID_Usuario FROM Usuario WHERE NomeUsuario = '"&amp;SUBSTITUTE($F119,"'","''")&amp;"')")&amp;", "&amp;IF($G119="","NULL","'"&amp;SUBSTITUTE($G119,"'","''")&amp;"'")&amp;" WHERE NOT EXISTS (SELECT 1 FROM Comentarios c JOIN Posts p ON p.ID_Post = c.ID_Post JOIN Usuario u ON u.ID_Usuario = c.ID_Autor WHERE p.URL_Post = "&amp;"'"&amp;SUBSTITUTE($A119,"'","''")&amp;"'"&amp;" AND u.NomeUsuario = "&amp;"'"&amp;SUBSTITUTE($B119,"'","''")&amp;"'"&amp;" AND c.Texto = "&amp;"'"&amp;SUBSTITUTE($C119,"'","''")&amp;"'"&amp;");")</f>
        <v/>
      </c>
    </row>
    <row r="120" customFormat="false" ht="15" hidden="false" customHeight="false" outlineLevel="0" collapsed="false">
      <c r="A120" s="26"/>
      <c r="B120" s="26"/>
      <c r="C120" s="26"/>
      <c r="D120" s="28"/>
      <c r="E120" s="26"/>
      <c r="F120" s="26"/>
      <c r="G120" s="28"/>
      <c r="I120" s="25" t="str">
        <f aca="false">IF($A120="","","INSERT INTO Comentarios (ID_Post, ID_Autor, Texto, DataComentario, Status_Moderacao, ID_Moderador, DataModeracao) SELECT "&amp;"(SELECT ID_Post FROM Posts WHERE URL_Post = '"&amp;SUBSTITUTE($A120,"'","''")&amp;"')"&amp;", "&amp;"(SELECT ID_Usuario FROM Usuario WHERE NomeUsuario = '"&amp;SUBSTITUTE($B120,"'","''")&amp;"')"&amp;", "&amp;"'"&amp;SUBSTITUTE($C120,"'","''")&amp;"'"&amp;", "&amp;IF($D120="","SYSDATETIME()","'"&amp;SUBSTITUTE($D120,"'","''")&amp;"'")&amp;", "&amp;IF($E120="","'Pendente'","'"&amp;SUBSTITUTE($E120,"'","''")&amp;"'")&amp;", "&amp;IF($F120="","NULL","(SELECT ID_Usuario FROM Usuario WHERE NomeUsuario = '"&amp;SUBSTITUTE($F120,"'","''")&amp;"')")&amp;", "&amp;IF($G120="","NULL","'"&amp;SUBSTITUTE($G120,"'","''")&amp;"'")&amp;" WHERE NOT EXISTS (SELECT 1 FROM Comentarios c JOIN Posts p ON p.ID_Post = c.ID_Post JOIN Usuario u ON u.ID_Usuario = c.ID_Autor WHERE p.URL_Post = "&amp;"'"&amp;SUBSTITUTE($A120,"'","''")&amp;"'"&amp;" AND u.NomeUsuario = "&amp;"'"&amp;SUBSTITUTE($B120,"'","''")&amp;"'"&amp;" AND c.Texto = "&amp;"'"&amp;SUBSTITUTE($C120,"'","''")&amp;"'"&amp;");")</f>
        <v/>
      </c>
    </row>
    <row r="121" customFormat="false" ht="15" hidden="false" customHeight="false" outlineLevel="0" collapsed="false">
      <c r="A121" s="26"/>
      <c r="B121" s="26"/>
      <c r="C121" s="26"/>
      <c r="D121" s="28"/>
      <c r="E121" s="26"/>
      <c r="F121" s="26"/>
      <c r="G121" s="28"/>
      <c r="I121" s="25" t="str">
        <f aca="false">IF($A121="","","INSERT INTO Comentarios (ID_Post, ID_Autor, Texto, DataComentario, Status_Moderacao, ID_Moderador, DataModeracao) SELECT "&amp;"(SELECT ID_Post FROM Posts WHERE URL_Post = '"&amp;SUBSTITUTE($A121,"'","''")&amp;"')"&amp;", "&amp;"(SELECT ID_Usuario FROM Usuario WHERE NomeUsuario = '"&amp;SUBSTITUTE($B121,"'","''")&amp;"')"&amp;", "&amp;"'"&amp;SUBSTITUTE($C121,"'","''")&amp;"'"&amp;", "&amp;IF($D121="","SYSDATETIME()","'"&amp;SUBSTITUTE($D121,"'","''")&amp;"'")&amp;", "&amp;IF($E121="","'Pendente'","'"&amp;SUBSTITUTE($E121,"'","''")&amp;"'")&amp;", "&amp;IF($F121="","NULL","(SELECT ID_Usuario FROM Usuario WHERE NomeUsuario = '"&amp;SUBSTITUTE($F121,"'","''")&amp;"')")&amp;", "&amp;IF($G121="","NULL","'"&amp;SUBSTITUTE($G121,"'","''")&amp;"'")&amp;" WHERE NOT EXISTS (SELECT 1 FROM Comentarios c JOIN Posts p ON p.ID_Post = c.ID_Post JOIN Usuario u ON u.ID_Usuario = c.ID_Autor WHERE p.URL_Post = "&amp;"'"&amp;SUBSTITUTE($A121,"'","''")&amp;"'"&amp;" AND u.NomeUsuario = "&amp;"'"&amp;SUBSTITUTE($B121,"'","''")&amp;"'"&amp;" AND c.Texto = "&amp;"'"&amp;SUBSTITUTE($C121,"'","''")&amp;"'"&amp;");")</f>
        <v/>
      </c>
    </row>
    <row r="122" customFormat="false" ht="15" hidden="false" customHeight="false" outlineLevel="0" collapsed="false">
      <c r="A122" s="26"/>
      <c r="B122" s="26"/>
      <c r="C122" s="26"/>
      <c r="D122" s="28"/>
      <c r="E122" s="26"/>
      <c r="F122" s="26"/>
      <c r="G122" s="28"/>
      <c r="I122" s="25" t="str">
        <f aca="false">IF($A122="","","INSERT INTO Comentarios (ID_Post, ID_Autor, Texto, DataComentario, Status_Moderacao, ID_Moderador, DataModeracao) SELECT "&amp;"(SELECT ID_Post FROM Posts WHERE URL_Post = '"&amp;SUBSTITUTE($A122,"'","''")&amp;"')"&amp;", "&amp;"(SELECT ID_Usuario FROM Usuario WHERE NomeUsuario = '"&amp;SUBSTITUTE($B122,"'","''")&amp;"')"&amp;", "&amp;"'"&amp;SUBSTITUTE($C122,"'","''")&amp;"'"&amp;", "&amp;IF($D122="","SYSDATETIME()","'"&amp;SUBSTITUTE($D122,"'","''")&amp;"'")&amp;", "&amp;IF($E122="","'Pendente'","'"&amp;SUBSTITUTE($E122,"'","''")&amp;"'")&amp;", "&amp;IF($F122="","NULL","(SELECT ID_Usuario FROM Usuario WHERE NomeUsuario = '"&amp;SUBSTITUTE($F122,"'","''")&amp;"')")&amp;", "&amp;IF($G122="","NULL","'"&amp;SUBSTITUTE($G122,"'","''")&amp;"'")&amp;" WHERE NOT EXISTS (SELECT 1 FROM Comentarios c JOIN Posts p ON p.ID_Post = c.ID_Post JOIN Usuario u ON u.ID_Usuario = c.ID_Autor WHERE p.URL_Post = "&amp;"'"&amp;SUBSTITUTE($A122,"'","''")&amp;"'"&amp;" AND u.NomeUsuario = "&amp;"'"&amp;SUBSTITUTE($B122,"'","''")&amp;"'"&amp;" AND c.Texto = "&amp;"'"&amp;SUBSTITUTE($C122,"'","''")&amp;"'"&amp;");")</f>
        <v/>
      </c>
    </row>
    <row r="123" customFormat="false" ht="15" hidden="false" customHeight="false" outlineLevel="0" collapsed="false">
      <c r="A123" s="26"/>
      <c r="B123" s="26"/>
      <c r="C123" s="26"/>
      <c r="D123" s="28"/>
      <c r="E123" s="26"/>
      <c r="F123" s="26"/>
      <c r="G123" s="28"/>
      <c r="I123" s="25" t="str">
        <f aca="false">IF($A123="","","INSERT INTO Comentarios (ID_Post, ID_Autor, Texto, DataComentario, Status_Moderacao, ID_Moderador, DataModeracao) SELECT "&amp;"(SELECT ID_Post FROM Posts WHERE URL_Post = '"&amp;SUBSTITUTE($A123,"'","''")&amp;"')"&amp;", "&amp;"(SELECT ID_Usuario FROM Usuario WHERE NomeUsuario = '"&amp;SUBSTITUTE($B123,"'","''")&amp;"')"&amp;", "&amp;"'"&amp;SUBSTITUTE($C123,"'","''")&amp;"'"&amp;", "&amp;IF($D123="","SYSDATETIME()","'"&amp;SUBSTITUTE($D123,"'","''")&amp;"'")&amp;", "&amp;IF($E123="","'Pendente'","'"&amp;SUBSTITUTE($E123,"'","''")&amp;"'")&amp;", "&amp;IF($F123="","NULL","(SELECT ID_Usuario FROM Usuario WHERE NomeUsuario = '"&amp;SUBSTITUTE($F123,"'","''")&amp;"')")&amp;", "&amp;IF($G123="","NULL","'"&amp;SUBSTITUTE($G123,"'","''")&amp;"'")&amp;" WHERE NOT EXISTS (SELECT 1 FROM Comentarios c JOIN Posts p ON p.ID_Post = c.ID_Post JOIN Usuario u ON u.ID_Usuario = c.ID_Autor WHERE p.URL_Post = "&amp;"'"&amp;SUBSTITUTE($A123,"'","''")&amp;"'"&amp;" AND u.NomeUsuario = "&amp;"'"&amp;SUBSTITUTE($B123,"'","''")&amp;"'"&amp;" AND c.Texto = "&amp;"'"&amp;SUBSTITUTE($C123,"'","''")&amp;"'"&amp;");")</f>
        <v/>
      </c>
    </row>
    <row r="124" customFormat="false" ht="15" hidden="false" customHeight="false" outlineLevel="0" collapsed="false">
      <c r="A124" s="26"/>
      <c r="B124" s="26"/>
      <c r="C124" s="26"/>
      <c r="D124" s="28"/>
      <c r="E124" s="26"/>
      <c r="F124" s="26"/>
      <c r="G124" s="28"/>
      <c r="I124" s="25" t="str">
        <f aca="false">IF($A124="","","INSERT INTO Comentarios (ID_Post, ID_Autor, Texto, DataComentario, Status_Moderacao, ID_Moderador, DataModeracao) SELECT "&amp;"(SELECT ID_Post FROM Posts WHERE URL_Post = '"&amp;SUBSTITUTE($A124,"'","''")&amp;"')"&amp;", "&amp;"(SELECT ID_Usuario FROM Usuario WHERE NomeUsuario = '"&amp;SUBSTITUTE($B124,"'","''")&amp;"')"&amp;", "&amp;"'"&amp;SUBSTITUTE($C124,"'","''")&amp;"'"&amp;", "&amp;IF($D124="","SYSDATETIME()","'"&amp;SUBSTITUTE($D124,"'","''")&amp;"'")&amp;", "&amp;IF($E124="","'Pendente'","'"&amp;SUBSTITUTE($E124,"'","''")&amp;"'")&amp;", "&amp;IF($F124="","NULL","(SELECT ID_Usuario FROM Usuario WHERE NomeUsuario = '"&amp;SUBSTITUTE($F124,"'","''")&amp;"')")&amp;", "&amp;IF($G124="","NULL","'"&amp;SUBSTITUTE($G124,"'","''")&amp;"'")&amp;" WHERE NOT EXISTS (SELECT 1 FROM Comentarios c JOIN Posts p ON p.ID_Post = c.ID_Post JOIN Usuario u ON u.ID_Usuario = c.ID_Autor WHERE p.URL_Post = "&amp;"'"&amp;SUBSTITUTE($A124,"'","''")&amp;"'"&amp;" AND u.NomeUsuario = "&amp;"'"&amp;SUBSTITUTE($B124,"'","''")&amp;"'"&amp;" AND c.Texto = "&amp;"'"&amp;SUBSTITUTE($C124,"'","''")&amp;"'"&amp;");")</f>
        <v/>
      </c>
    </row>
    <row r="125" customFormat="false" ht="15" hidden="false" customHeight="false" outlineLevel="0" collapsed="false">
      <c r="A125" s="26"/>
      <c r="B125" s="26"/>
      <c r="C125" s="26"/>
      <c r="D125" s="28"/>
      <c r="E125" s="26"/>
      <c r="F125" s="26"/>
      <c r="G125" s="28"/>
      <c r="I125" s="25" t="str">
        <f aca="false">IF($A125="","","INSERT INTO Comentarios (ID_Post, ID_Autor, Texto, DataComentario, Status_Moderacao, ID_Moderador, DataModeracao) SELECT "&amp;"(SELECT ID_Post FROM Posts WHERE URL_Post = '"&amp;SUBSTITUTE($A125,"'","''")&amp;"')"&amp;", "&amp;"(SELECT ID_Usuario FROM Usuario WHERE NomeUsuario = '"&amp;SUBSTITUTE($B125,"'","''")&amp;"')"&amp;", "&amp;"'"&amp;SUBSTITUTE($C125,"'","''")&amp;"'"&amp;", "&amp;IF($D125="","SYSDATETIME()","'"&amp;SUBSTITUTE($D125,"'","''")&amp;"'")&amp;", "&amp;IF($E125="","'Pendente'","'"&amp;SUBSTITUTE($E125,"'","''")&amp;"'")&amp;", "&amp;IF($F125="","NULL","(SELECT ID_Usuario FROM Usuario WHERE NomeUsuario = '"&amp;SUBSTITUTE($F125,"'","''")&amp;"')")&amp;", "&amp;IF($G125="","NULL","'"&amp;SUBSTITUTE($G125,"'","''")&amp;"'")&amp;" WHERE NOT EXISTS (SELECT 1 FROM Comentarios c JOIN Posts p ON p.ID_Post = c.ID_Post JOIN Usuario u ON u.ID_Usuario = c.ID_Autor WHERE p.URL_Post = "&amp;"'"&amp;SUBSTITUTE($A125,"'","''")&amp;"'"&amp;" AND u.NomeUsuario = "&amp;"'"&amp;SUBSTITUTE($B125,"'","''")&amp;"'"&amp;" AND c.Texto = "&amp;"'"&amp;SUBSTITUTE($C125,"'","''")&amp;"'"&amp;");")</f>
        <v/>
      </c>
    </row>
    <row r="126" customFormat="false" ht="15" hidden="false" customHeight="false" outlineLevel="0" collapsed="false">
      <c r="A126" s="26"/>
      <c r="B126" s="26"/>
      <c r="C126" s="26"/>
      <c r="D126" s="28"/>
      <c r="E126" s="26"/>
      <c r="F126" s="26"/>
      <c r="G126" s="28"/>
      <c r="I126" s="25" t="str">
        <f aca="false">IF($A126="","","INSERT INTO Comentarios (ID_Post, ID_Autor, Texto, DataComentario, Status_Moderacao, ID_Moderador, DataModeracao) SELECT "&amp;"(SELECT ID_Post FROM Posts WHERE URL_Post = '"&amp;SUBSTITUTE($A126,"'","''")&amp;"')"&amp;", "&amp;"(SELECT ID_Usuario FROM Usuario WHERE NomeUsuario = '"&amp;SUBSTITUTE($B126,"'","''")&amp;"')"&amp;", "&amp;"'"&amp;SUBSTITUTE($C126,"'","''")&amp;"'"&amp;", "&amp;IF($D126="","SYSDATETIME()","'"&amp;SUBSTITUTE($D126,"'","''")&amp;"'")&amp;", "&amp;IF($E126="","'Pendente'","'"&amp;SUBSTITUTE($E126,"'","''")&amp;"'")&amp;", "&amp;IF($F126="","NULL","(SELECT ID_Usuario FROM Usuario WHERE NomeUsuario = '"&amp;SUBSTITUTE($F126,"'","''")&amp;"')")&amp;", "&amp;IF($G126="","NULL","'"&amp;SUBSTITUTE($G126,"'","''")&amp;"'")&amp;" WHERE NOT EXISTS (SELECT 1 FROM Comentarios c JOIN Posts p ON p.ID_Post = c.ID_Post JOIN Usuario u ON u.ID_Usuario = c.ID_Autor WHERE p.URL_Post = "&amp;"'"&amp;SUBSTITUTE($A126,"'","''")&amp;"'"&amp;" AND u.NomeUsuario = "&amp;"'"&amp;SUBSTITUTE($B126,"'","''")&amp;"'"&amp;" AND c.Texto = "&amp;"'"&amp;SUBSTITUTE($C126,"'","''")&amp;"'"&amp;");")</f>
        <v/>
      </c>
    </row>
    <row r="127" customFormat="false" ht="15" hidden="false" customHeight="false" outlineLevel="0" collapsed="false">
      <c r="A127" s="26"/>
      <c r="B127" s="26"/>
      <c r="C127" s="26"/>
      <c r="D127" s="28"/>
      <c r="E127" s="26"/>
      <c r="F127" s="26"/>
      <c r="G127" s="28"/>
      <c r="I127" s="25" t="str">
        <f aca="false">IF($A127="","","INSERT INTO Comentarios (ID_Post, ID_Autor, Texto, DataComentario, Status_Moderacao, ID_Moderador, DataModeracao) SELECT "&amp;"(SELECT ID_Post FROM Posts WHERE URL_Post = '"&amp;SUBSTITUTE($A127,"'","''")&amp;"')"&amp;", "&amp;"(SELECT ID_Usuario FROM Usuario WHERE NomeUsuario = '"&amp;SUBSTITUTE($B127,"'","''")&amp;"')"&amp;", "&amp;"'"&amp;SUBSTITUTE($C127,"'","''")&amp;"'"&amp;", "&amp;IF($D127="","SYSDATETIME()","'"&amp;SUBSTITUTE($D127,"'","''")&amp;"'")&amp;", "&amp;IF($E127="","'Pendente'","'"&amp;SUBSTITUTE($E127,"'","''")&amp;"'")&amp;", "&amp;IF($F127="","NULL","(SELECT ID_Usuario FROM Usuario WHERE NomeUsuario = '"&amp;SUBSTITUTE($F127,"'","''")&amp;"')")&amp;", "&amp;IF($G127="","NULL","'"&amp;SUBSTITUTE($G127,"'","''")&amp;"'")&amp;" WHERE NOT EXISTS (SELECT 1 FROM Comentarios c JOIN Posts p ON p.ID_Post = c.ID_Post JOIN Usuario u ON u.ID_Usuario = c.ID_Autor WHERE p.URL_Post = "&amp;"'"&amp;SUBSTITUTE($A127,"'","''")&amp;"'"&amp;" AND u.NomeUsuario = "&amp;"'"&amp;SUBSTITUTE($B127,"'","''")&amp;"'"&amp;" AND c.Texto = "&amp;"'"&amp;SUBSTITUTE($C127,"'","''")&amp;"'"&amp;");")</f>
        <v/>
      </c>
    </row>
    <row r="128" customFormat="false" ht="15" hidden="false" customHeight="false" outlineLevel="0" collapsed="false">
      <c r="A128" s="26"/>
      <c r="B128" s="26"/>
      <c r="C128" s="26"/>
      <c r="D128" s="28"/>
      <c r="E128" s="26"/>
      <c r="F128" s="26"/>
      <c r="G128" s="28"/>
      <c r="I128" s="25" t="str">
        <f aca="false">IF($A128="","","INSERT INTO Comentarios (ID_Post, ID_Autor, Texto, DataComentario, Status_Moderacao, ID_Moderador, DataModeracao) SELECT "&amp;"(SELECT ID_Post FROM Posts WHERE URL_Post = '"&amp;SUBSTITUTE($A128,"'","''")&amp;"')"&amp;", "&amp;"(SELECT ID_Usuario FROM Usuario WHERE NomeUsuario = '"&amp;SUBSTITUTE($B128,"'","''")&amp;"')"&amp;", "&amp;"'"&amp;SUBSTITUTE($C128,"'","''")&amp;"'"&amp;", "&amp;IF($D128="","SYSDATETIME()","'"&amp;SUBSTITUTE($D128,"'","''")&amp;"'")&amp;", "&amp;IF($E128="","'Pendente'","'"&amp;SUBSTITUTE($E128,"'","''")&amp;"'")&amp;", "&amp;IF($F128="","NULL","(SELECT ID_Usuario FROM Usuario WHERE NomeUsuario = '"&amp;SUBSTITUTE($F128,"'","''")&amp;"')")&amp;", "&amp;IF($G128="","NULL","'"&amp;SUBSTITUTE($G128,"'","''")&amp;"'")&amp;" WHERE NOT EXISTS (SELECT 1 FROM Comentarios c JOIN Posts p ON p.ID_Post = c.ID_Post JOIN Usuario u ON u.ID_Usuario = c.ID_Autor WHERE p.URL_Post = "&amp;"'"&amp;SUBSTITUTE($A128,"'","''")&amp;"'"&amp;" AND u.NomeUsuario = "&amp;"'"&amp;SUBSTITUTE($B128,"'","''")&amp;"'"&amp;" AND c.Texto = "&amp;"'"&amp;SUBSTITUTE($C128,"'","''")&amp;"'"&amp;");")</f>
        <v/>
      </c>
    </row>
    <row r="129" customFormat="false" ht="15" hidden="false" customHeight="false" outlineLevel="0" collapsed="false">
      <c r="A129" s="26"/>
      <c r="B129" s="26"/>
      <c r="C129" s="26"/>
      <c r="D129" s="28"/>
      <c r="E129" s="26"/>
      <c r="F129" s="26"/>
      <c r="G129" s="28"/>
      <c r="I129" s="25" t="str">
        <f aca="false">IF($A129="","","INSERT INTO Comentarios (ID_Post, ID_Autor, Texto, DataComentario, Status_Moderacao, ID_Moderador, DataModeracao) SELECT "&amp;"(SELECT ID_Post FROM Posts WHERE URL_Post = '"&amp;SUBSTITUTE($A129,"'","''")&amp;"')"&amp;", "&amp;"(SELECT ID_Usuario FROM Usuario WHERE NomeUsuario = '"&amp;SUBSTITUTE($B129,"'","''")&amp;"')"&amp;", "&amp;"'"&amp;SUBSTITUTE($C129,"'","''")&amp;"'"&amp;", "&amp;IF($D129="","SYSDATETIME()","'"&amp;SUBSTITUTE($D129,"'","''")&amp;"'")&amp;", "&amp;IF($E129="","'Pendente'","'"&amp;SUBSTITUTE($E129,"'","''")&amp;"'")&amp;", "&amp;IF($F129="","NULL","(SELECT ID_Usuario FROM Usuario WHERE NomeUsuario = '"&amp;SUBSTITUTE($F129,"'","''")&amp;"')")&amp;", "&amp;IF($G129="","NULL","'"&amp;SUBSTITUTE($G129,"'","''")&amp;"'")&amp;" WHERE NOT EXISTS (SELECT 1 FROM Comentarios c JOIN Posts p ON p.ID_Post = c.ID_Post JOIN Usuario u ON u.ID_Usuario = c.ID_Autor WHERE p.URL_Post = "&amp;"'"&amp;SUBSTITUTE($A129,"'","''")&amp;"'"&amp;" AND u.NomeUsuario = "&amp;"'"&amp;SUBSTITUTE($B129,"'","''")&amp;"'"&amp;" AND c.Texto = "&amp;"'"&amp;SUBSTITUTE($C129,"'","''")&amp;"'"&amp;");")</f>
        <v/>
      </c>
    </row>
    <row r="130" customFormat="false" ht="15" hidden="false" customHeight="false" outlineLevel="0" collapsed="false">
      <c r="A130" s="26"/>
      <c r="B130" s="26"/>
      <c r="C130" s="26"/>
      <c r="D130" s="28"/>
      <c r="E130" s="26"/>
      <c r="F130" s="26"/>
      <c r="G130" s="28"/>
      <c r="I130" s="25" t="str">
        <f aca="false">IF($A130="","","INSERT INTO Comentarios (ID_Post, ID_Autor, Texto, DataComentario, Status_Moderacao, ID_Moderador, DataModeracao) SELECT "&amp;"(SELECT ID_Post FROM Posts WHERE URL_Post = '"&amp;SUBSTITUTE($A130,"'","''")&amp;"')"&amp;", "&amp;"(SELECT ID_Usuario FROM Usuario WHERE NomeUsuario = '"&amp;SUBSTITUTE($B130,"'","''")&amp;"')"&amp;", "&amp;"'"&amp;SUBSTITUTE($C130,"'","''")&amp;"'"&amp;", "&amp;IF($D130="","SYSDATETIME()","'"&amp;SUBSTITUTE($D130,"'","''")&amp;"'")&amp;", "&amp;IF($E130="","'Pendente'","'"&amp;SUBSTITUTE($E130,"'","''")&amp;"'")&amp;", "&amp;IF($F130="","NULL","(SELECT ID_Usuario FROM Usuario WHERE NomeUsuario = '"&amp;SUBSTITUTE($F130,"'","''")&amp;"')")&amp;", "&amp;IF($G130="","NULL","'"&amp;SUBSTITUTE($G130,"'","''")&amp;"'")&amp;" WHERE NOT EXISTS (SELECT 1 FROM Comentarios c JOIN Posts p ON p.ID_Post = c.ID_Post JOIN Usuario u ON u.ID_Usuario = c.ID_Autor WHERE p.URL_Post = "&amp;"'"&amp;SUBSTITUTE($A130,"'","''")&amp;"'"&amp;" AND u.NomeUsuario = "&amp;"'"&amp;SUBSTITUTE($B130,"'","''")&amp;"'"&amp;" AND c.Texto = "&amp;"'"&amp;SUBSTITUTE($C130,"'","''")&amp;"'"&amp;");")</f>
        <v/>
      </c>
    </row>
    <row r="131" customFormat="false" ht="15" hidden="false" customHeight="false" outlineLevel="0" collapsed="false">
      <c r="A131" s="26"/>
      <c r="B131" s="26"/>
      <c r="C131" s="26"/>
      <c r="D131" s="28"/>
      <c r="E131" s="26"/>
      <c r="F131" s="26"/>
      <c r="G131" s="28"/>
      <c r="I131" s="25" t="str">
        <f aca="false">IF($A131="","","INSERT INTO Comentarios (ID_Post, ID_Autor, Texto, DataComentario, Status_Moderacao, ID_Moderador, DataModeracao) SELECT "&amp;"(SELECT ID_Post FROM Posts WHERE URL_Post = '"&amp;SUBSTITUTE($A131,"'","''")&amp;"')"&amp;", "&amp;"(SELECT ID_Usuario FROM Usuario WHERE NomeUsuario = '"&amp;SUBSTITUTE($B131,"'","''")&amp;"')"&amp;", "&amp;"'"&amp;SUBSTITUTE($C131,"'","''")&amp;"'"&amp;", "&amp;IF($D131="","SYSDATETIME()","'"&amp;SUBSTITUTE($D131,"'","''")&amp;"'")&amp;", "&amp;IF($E131="","'Pendente'","'"&amp;SUBSTITUTE($E131,"'","''")&amp;"'")&amp;", "&amp;IF($F131="","NULL","(SELECT ID_Usuario FROM Usuario WHERE NomeUsuario = '"&amp;SUBSTITUTE($F131,"'","''")&amp;"')")&amp;", "&amp;IF($G131="","NULL","'"&amp;SUBSTITUTE($G131,"'","''")&amp;"'")&amp;" WHERE NOT EXISTS (SELECT 1 FROM Comentarios c JOIN Posts p ON p.ID_Post = c.ID_Post JOIN Usuario u ON u.ID_Usuario = c.ID_Autor WHERE p.URL_Post = "&amp;"'"&amp;SUBSTITUTE($A131,"'","''")&amp;"'"&amp;" AND u.NomeUsuario = "&amp;"'"&amp;SUBSTITUTE($B131,"'","''")&amp;"'"&amp;" AND c.Texto = "&amp;"'"&amp;SUBSTITUTE($C131,"'","''")&amp;"'"&amp;");")</f>
        <v/>
      </c>
    </row>
    <row r="132" customFormat="false" ht="15" hidden="false" customHeight="false" outlineLevel="0" collapsed="false">
      <c r="A132" s="26"/>
      <c r="B132" s="26"/>
      <c r="C132" s="26"/>
      <c r="D132" s="28"/>
      <c r="E132" s="26"/>
      <c r="F132" s="26"/>
      <c r="G132" s="28"/>
      <c r="I132" s="25" t="str">
        <f aca="false">IF($A132="","","INSERT INTO Comentarios (ID_Post, ID_Autor, Texto, DataComentario, Status_Moderacao, ID_Moderador, DataModeracao) SELECT "&amp;"(SELECT ID_Post FROM Posts WHERE URL_Post = '"&amp;SUBSTITUTE($A132,"'","''")&amp;"')"&amp;", "&amp;"(SELECT ID_Usuario FROM Usuario WHERE NomeUsuario = '"&amp;SUBSTITUTE($B132,"'","''")&amp;"')"&amp;", "&amp;"'"&amp;SUBSTITUTE($C132,"'","''")&amp;"'"&amp;", "&amp;IF($D132="","SYSDATETIME()","'"&amp;SUBSTITUTE($D132,"'","''")&amp;"'")&amp;", "&amp;IF($E132="","'Pendente'","'"&amp;SUBSTITUTE($E132,"'","''")&amp;"'")&amp;", "&amp;IF($F132="","NULL","(SELECT ID_Usuario FROM Usuario WHERE NomeUsuario = '"&amp;SUBSTITUTE($F132,"'","''")&amp;"')")&amp;", "&amp;IF($G132="","NULL","'"&amp;SUBSTITUTE($G132,"'","''")&amp;"'")&amp;" WHERE NOT EXISTS (SELECT 1 FROM Comentarios c JOIN Posts p ON p.ID_Post = c.ID_Post JOIN Usuario u ON u.ID_Usuario = c.ID_Autor WHERE p.URL_Post = "&amp;"'"&amp;SUBSTITUTE($A132,"'","''")&amp;"'"&amp;" AND u.NomeUsuario = "&amp;"'"&amp;SUBSTITUTE($B132,"'","''")&amp;"'"&amp;" AND c.Texto = "&amp;"'"&amp;SUBSTITUTE($C132,"'","''")&amp;"'"&amp;");")</f>
        <v/>
      </c>
    </row>
    <row r="133" customFormat="false" ht="15" hidden="false" customHeight="false" outlineLevel="0" collapsed="false">
      <c r="A133" s="26"/>
      <c r="B133" s="26"/>
      <c r="C133" s="26"/>
      <c r="D133" s="28"/>
      <c r="E133" s="26"/>
      <c r="F133" s="26"/>
      <c r="G133" s="28"/>
      <c r="I133" s="25" t="str">
        <f aca="false">IF($A133="","","INSERT INTO Comentarios (ID_Post, ID_Autor, Texto, DataComentario, Status_Moderacao, ID_Moderador, DataModeracao) SELECT "&amp;"(SELECT ID_Post FROM Posts WHERE URL_Post = '"&amp;SUBSTITUTE($A133,"'","''")&amp;"')"&amp;", "&amp;"(SELECT ID_Usuario FROM Usuario WHERE NomeUsuario = '"&amp;SUBSTITUTE($B133,"'","''")&amp;"')"&amp;", "&amp;"'"&amp;SUBSTITUTE($C133,"'","''")&amp;"'"&amp;", "&amp;IF($D133="","SYSDATETIME()","'"&amp;SUBSTITUTE($D133,"'","''")&amp;"'")&amp;", "&amp;IF($E133="","'Pendente'","'"&amp;SUBSTITUTE($E133,"'","''")&amp;"'")&amp;", "&amp;IF($F133="","NULL","(SELECT ID_Usuario FROM Usuario WHERE NomeUsuario = '"&amp;SUBSTITUTE($F133,"'","''")&amp;"')")&amp;", "&amp;IF($G133="","NULL","'"&amp;SUBSTITUTE($G133,"'","''")&amp;"'")&amp;" WHERE NOT EXISTS (SELECT 1 FROM Comentarios c JOIN Posts p ON p.ID_Post = c.ID_Post JOIN Usuario u ON u.ID_Usuario = c.ID_Autor WHERE p.URL_Post = "&amp;"'"&amp;SUBSTITUTE($A133,"'","''")&amp;"'"&amp;" AND u.NomeUsuario = "&amp;"'"&amp;SUBSTITUTE($B133,"'","''")&amp;"'"&amp;" AND c.Texto = "&amp;"'"&amp;SUBSTITUTE($C133,"'","''")&amp;"'"&amp;");")</f>
        <v/>
      </c>
    </row>
    <row r="134" customFormat="false" ht="15" hidden="false" customHeight="false" outlineLevel="0" collapsed="false">
      <c r="A134" s="26"/>
      <c r="B134" s="26"/>
      <c r="C134" s="26"/>
      <c r="D134" s="28"/>
      <c r="E134" s="26"/>
      <c r="F134" s="26"/>
      <c r="G134" s="28"/>
      <c r="I134" s="25" t="str">
        <f aca="false">IF($A134="","","INSERT INTO Comentarios (ID_Post, ID_Autor, Texto, DataComentario, Status_Moderacao, ID_Moderador, DataModeracao) SELECT "&amp;"(SELECT ID_Post FROM Posts WHERE URL_Post = '"&amp;SUBSTITUTE($A134,"'","''")&amp;"')"&amp;", "&amp;"(SELECT ID_Usuario FROM Usuario WHERE NomeUsuario = '"&amp;SUBSTITUTE($B134,"'","''")&amp;"')"&amp;", "&amp;"'"&amp;SUBSTITUTE($C134,"'","''")&amp;"'"&amp;", "&amp;IF($D134="","SYSDATETIME()","'"&amp;SUBSTITUTE($D134,"'","''")&amp;"'")&amp;", "&amp;IF($E134="","'Pendente'","'"&amp;SUBSTITUTE($E134,"'","''")&amp;"'")&amp;", "&amp;IF($F134="","NULL","(SELECT ID_Usuario FROM Usuario WHERE NomeUsuario = '"&amp;SUBSTITUTE($F134,"'","''")&amp;"')")&amp;", "&amp;IF($G134="","NULL","'"&amp;SUBSTITUTE($G134,"'","''")&amp;"'")&amp;" WHERE NOT EXISTS (SELECT 1 FROM Comentarios c JOIN Posts p ON p.ID_Post = c.ID_Post JOIN Usuario u ON u.ID_Usuario = c.ID_Autor WHERE p.URL_Post = "&amp;"'"&amp;SUBSTITUTE($A134,"'","''")&amp;"'"&amp;" AND u.NomeUsuario = "&amp;"'"&amp;SUBSTITUTE($B134,"'","''")&amp;"'"&amp;" AND c.Texto = "&amp;"'"&amp;SUBSTITUTE($C134,"'","''")&amp;"'"&amp;");")</f>
        <v/>
      </c>
    </row>
    <row r="135" customFormat="false" ht="15" hidden="false" customHeight="false" outlineLevel="0" collapsed="false">
      <c r="A135" s="26"/>
      <c r="B135" s="26"/>
      <c r="C135" s="26"/>
      <c r="D135" s="28"/>
      <c r="E135" s="26"/>
      <c r="F135" s="26"/>
      <c r="G135" s="28"/>
      <c r="I135" s="25" t="str">
        <f aca="false">IF($A135="","","INSERT INTO Comentarios (ID_Post, ID_Autor, Texto, DataComentario, Status_Moderacao, ID_Moderador, DataModeracao) SELECT "&amp;"(SELECT ID_Post FROM Posts WHERE URL_Post = '"&amp;SUBSTITUTE($A135,"'","''")&amp;"')"&amp;", "&amp;"(SELECT ID_Usuario FROM Usuario WHERE NomeUsuario = '"&amp;SUBSTITUTE($B135,"'","''")&amp;"')"&amp;", "&amp;"'"&amp;SUBSTITUTE($C135,"'","''")&amp;"'"&amp;", "&amp;IF($D135="","SYSDATETIME()","'"&amp;SUBSTITUTE($D135,"'","''")&amp;"'")&amp;", "&amp;IF($E135="","'Pendente'","'"&amp;SUBSTITUTE($E135,"'","''")&amp;"'")&amp;", "&amp;IF($F135="","NULL","(SELECT ID_Usuario FROM Usuario WHERE NomeUsuario = '"&amp;SUBSTITUTE($F135,"'","''")&amp;"')")&amp;", "&amp;IF($G135="","NULL","'"&amp;SUBSTITUTE($G135,"'","''")&amp;"'")&amp;" WHERE NOT EXISTS (SELECT 1 FROM Comentarios c JOIN Posts p ON p.ID_Post = c.ID_Post JOIN Usuario u ON u.ID_Usuario = c.ID_Autor WHERE p.URL_Post = "&amp;"'"&amp;SUBSTITUTE($A135,"'","''")&amp;"'"&amp;" AND u.NomeUsuario = "&amp;"'"&amp;SUBSTITUTE($B135,"'","''")&amp;"'"&amp;" AND c.Texto = "&amp;"'"&amp;SUBSTITUTE($C135,"'","''")&amp;"'"&amp;");")</f>
        <v/>
      </c>
    </row>
    <row r="136" customFormat="false" ht="15" hidden="false" customHeight="false" outlineLevel="0" collapsed="false">
      <c r="A136" s="26"/>
      <c r="B136" s="26"/>
      <c r="C136" s="26"/>
      <c r="D136" s="28"/>
      <c r="E136" s="26"/>
      <c r="F136" s="26"/>
      <c r="G136" s="28"/>
      <c r="I136" s="25" t="str">
        <f aca="false">IF($A136="","","INSERT INTO Comentarios (ID_Post, ID_Autor, Texto, DataComentario, Status_Moderacao, ID_Moderador, DataModeracao) SELECT "&amp;"(SELECT ID_Post FROM Posts WHERE URL_Post = '"&amp;SUBSTITUTE($A136,"'","''")&amp;"')"&amp;", "&amp;"(SELECT ID_Usuario FROM Usuario WHERE NomeUsuario = '"&amp;SUBSTITUTE($B136,"'","''")&amp;"')"&amp;", "&amp;"'"&amp;SUBSTITUTE($C136,"'","''")&amp;"'"&amp;", "&amp;IF($D136="","SYSDATETIME()","'"&amp;SUBSTITUTE($D136,"'","''")&amp;"'")&amp;", "&amp;IF($E136="","'Pendente'","'"&amp;SUBSTITUTE($E136,"'","''")&amp;"'")&amp;", "&amp;IF($F136="","NULL","(SELECT ID_Usuario FROM Usuario WHERE NomeUsuario = '"&amp;SUBSTITUTE($F136,"'","''")&amp;"')")&amp;", "&amp;IF($G136="","NULL","'"&amp;SUBSTITUTE($G136,"'","''")&amp;"'")&amp;" WHERE NOT EXISTS (SELECT 1 FROM Comentarios c JOIN Posts p ON p.ID_Post = c.ID_Post JOIN Usuario u ON u.ID_Usuario = c.ID_Autor WHERE p.URL_Post = "&amp;"'"&amp;SUBSTITUTE($A136,"'","''")&amp;"'"&amp;" AND u.NomeUsuario = "&amp;"'"&amp;SUBSTITUTE($B136,"'","''")&amp;"'"&amp;" AND c.Texto = "&amp;"'"&amp;SUBSTITUTE($C136,"'","''")&amp;"'"&amp;");")</f>
        <v/>
      </c>
    </row>
    <row r="137" customFormat="false" ht="15" hidden="false" customHeight="false" outlineLevel="0" collapsed="false">
      <c r="A137" s="26"/>
      <c r="B137" s="26"/>
      <c r="C137" s="26"/>
      <c r="D137" s="28"/>
      <c r="E137" s="26"/>
      <c r="F137" s="26"/>
      <c r="G137" s="28"/>
      <c r="I137" s="25" t="str">
        <f aca="false">IF($A137="","","INSERT INTO Comentarios (ID_Post, ID_Autor, Texto, DataComentario, Status_Moderacao, ID_Moderador, DataModeracao) SELECT "&amp;"(SELECT ID_Post FROM Posts WHERE URL_Post = '"&amp;SUBSTITUTE($A137,"'","''")&amp;"')"&amp;", "&amp;"(SELECT ID_Usuario FROM Usuario WHERE NomeUsuario = '"&amp;SUBSTITUTE($B137,"'","''")&amp;"')"&amp;", "&amp;"'"&amp;SUBSTITUTE($C137,"'","''")&amp;"'"&amp;", "&amp;IF($D137="","SYSDATETIME()","'"&amp;SUBSTITUTE($D137,"'","''")&amp;"'")&amp;", "&amp;IF($E137="","'Pendente'","'"&amp;SUBSTITUTE($E137,"'","''")&amp;"'")&amp;", "&amp;IF($F137="","NULL","(SELECT ID_Usuario FROM Usuario WHERE NomeUsuario = '"&amp;SUBSTITUTE($F137,"'","''")&amp;"')")&amp;", "&amp;IF($G137="","NULL","'"&amp;SUBSTITUTE($G137,"'","''")&amp;"'")&amp;" WHERE NOT EXISTS (SELECT 1 FROM Comentarios c JOIN Posts p ON p.ID_Post = c.ID_Post JOIN Usuario u ON u.ID_Usuario = c.ID_Autor WHERE p.URL_Post = "&amp;"'"&amp;SUBSTITUTE($A137,"'","''")&amp;"'"&amp;" AND u.NomeUsuario = "&amp;"'"&amp;SUBSTITUTE($B137,"'","''")&amp;"'"&amp;" AND c.Texto = "&amp;"'"&amp;SUBSTITUTE($C137,"'","''")&amp;"'"&amp;");")</f>
        <v/>
      </c>
    </row>
    <row r="138" customFormat="false" ht="15" hidden="false" customHeight="false" outlineLevel="0" collapsed="false">
      <c r="A138" s="26"/>
      <c r="B138" s="26"/>
      <c r="C138" s="26"/>
      <c r="D138" s="28"/>
      <c r="E138" s="26"/>
      <c r="F138" s="26"/>
      <c r="G138" s="28"/>
      <c r="I138" s="25" t="str">
        <f aca="false">IF($A138="","","INSERT INTO Comentarios (ID_Post, ID_Autor, Texto, DataComentario, Status_Moderacao, ID_Moderador, DataModeracao) SELECT "&amp;"(SELECT ID_Post FROM Posts WHERE URL_Post = '"&amp;SUBSTITUTE($A138,"'","''")&amp;"')"&amp;", "&amp;"(SELECT ID_Usuario FROM Usuario WHERE NomeUsuario = '"&amp;SUBSTITUTE($B138,"'","''")&amp;"')"&amp;", "&amp;"'"&amp;SUBSTITUTE($C138,"'","''")&amp;"'"&amp;", "&amp;IF($D138="","SYSDATETIME()","'"&amp;SUBSTITUTE($D138,"'","''")&amp;"'")&amp;", "&amp;IF($E138="","'Pendente'","'"&amp;SUBSTITUTE($E138,"'","''")&amp;"'")&amp;", "&amp;IF($F138="","NULL","(SELECT ID_Usuario FROM Usuario WHERE NomeUsuario = '"&amp;SUBSTITUTE($F138,"'","''")&amp;"')")&amp;", "&amp;IF($G138="","NULL","'"&amp;SUBSTITUTE($G138,"'","''")&amp;"'")&amp;" WHERE NOT EXISTS (SELECT 1 FROM Comentarios c JOIN Posts p ON p.ID_Post = c.ID_Post JOIN Usuario u ON u.ID_Usuario = c.ID_Autor WHERE p.URL_Post = "&amp;"'"&amp;SUBSTITUTE($A138,"'","''")&amp;"'"&amp;" AND u.NomeUsuario = "&amp;"'"&amp;SUBSTITUTE($B138,"'","''")&amp;"'"&amp;" AND c.Texto = "&amp;"'"&amp;SUBSTITUTE($C138,"'","''")&amp;"'"&amp;");")</f>
        <v/>
      </c>
    </row>
    <row r="139" customFormat="false" ht="15" hidden="false" customHeight="false" outlineLevel="0" collapsed="false">
      <c r="A139" s="26"/>
      <c r="B139" s="26"/>
      <c r="C139" s="26"/>
      <c r="D139" s="28"/>
      <c r="E139" s="26"/>
      <c r="F139" s="26"/>
      <c r="G139" s="28"/>
      <c r="I139" s="25" t="str">
        <f aca="false">IF($A139="","","INSERT INTO Comentarios (ID_Post, ID_Autor, Texto, DataComentario, Status_Moderacao, ID_Moderador, DataModeracao) SELECT "&amp;"(SELECT ID_Post FROM Posts WHERE URL_Post = '"&amp;SUBSTITUTE($A139,"'","''")&amp;"')"&amp;", "&amp;"(SELECT ID_Usuario FROM Usuario WHERE NomeUsuario = '"&amp;SUBSTITUTE($B139,"'","''")&amp;"')"&amp;", "&amp;"'"&amp;SUBSTITUTE($C139,"'","''")&amp;"'"&amp;", "&amp;IF($D139="","SYSDATETIME()","'"&amp;SUBSTITUTE($D139,"'","''")&amp;"'")&amp;", "&amp;IF($E139="","'Pendente'","'"&amp;SUBSTITUTE($E139,"'","''")&amp;"'")&amp;", "&amp;IF($F139="","NULL","(SELECT ID_Usuario FROM Usuario WHERE NomeUsuario = '"&amp;SUBSTITUTE($F139,"'","''")&amp;"')")&amp;", "&amp;IF($G139="","NULL","'"&amp;SUBSTITUTE($G139,"'","''")&amp;"'")&amp;" WHERE NOT EXISTS (SELECT 1 FROM Comentarios c JOIN Posts p ON p.ID_Post = c.ID_Post JOIN Usuario u ON u.ID_Usuario = c.ID_Autor WHERE p.URL_Post = "&amp;"'"&amp;SUBSTITUTE($A139,"'","''")&amp;"'"&amp;" AND u.NomeUsuario = "&amp;"'"&amp;SUBSTITUTE($B139,"'","''")&amp;"'"&amp;" AND c.Texto = "&amp;"'"&amp;SUBSTITUTE($C139,"'","''")&amp;"'"&amp;");")</f>
        <v/>
      </c>
    </row>
    <row r="140" customFormat="false" ht="15" hidden="false" customHeight="false" outlineLevel="0" collapsed="false">
      <c r="A140" s="26"/>
      <c r="B140" s="26"/>
      <c r="C140" s="26"/>
      <c r="D140" s="28"/>
      <c r="E140" s="26"/>
      <c r="F140" s="26"/>
      <c r="G140" s="28"/>
      <c r="I140" s="25" t="str">
        <f aca="false">IF($A140="","","INSERT INTO Comentarios (ID_Post, ID_Autor, Texto, DataComentario, Status_Moderacao, ID_Moderador, DataModeracao) SELECT "&amp;"(SELECT ID_Post FROM Posts WHERE URL_Post = '"&amp;SUBSTITUTE($A140,"'","''")&amp;"')"&amp;", "&amp;"(SELECT ID_Usuario FROM Usuario WHERE NomeUsuario = '"&amp;SUBSTITUTE($B140,"'","''")&amp;"')"&amp;", "&amp;"'"&amp;SUBSTITUTE($C140,"'","''")&amp;"'"&amp;", "&amp;IF($D140="","SYSDATETIME()","'"&amp;SUBSTITUTE($D140,"'","''")&amp;"'")&amp;", "&amp;IF($E140="","'Pendente'","'"&amp;SUBSTITUTE($E140,"'","''")&amp;"'")&amp;", "&amp;IF($F140="","NULL","(SELECT ID_Usuario FROM Usuario WHERE NomeUsuario = '"&amp;SUBSTITUTE($F140,"'","''")&amp;"')")&amp;", "&amp;IF($G140="","NULL","'"&amp;SUBSTITUTE($G140,"'","''")&amp;"'")&amp;" WHERE NOT EXISTS (SELECT 1 FROM Comentarios c JOIN Posts p ON p.ID_Post = c.ID_Post JOIN Usuario u ON u.ID_Usuario = c.ID_Autor WHERE p.URL_Post = "&amp;"'"&amp;SUBSTITUTE($A140,"'","''")&amp;"'"&amp;" AND u.NomeUsuario = "&amp;"'"&amp;SUBSTITUTE($B140,"'","''")&amp;"'"&amp;" AND c.Texto = "&amp;"'"&amp;SUBSTITUTE($C140,"'","''")&amp;"'"&amp;");")</f>
        <v/>
      </c>
    </row>
    <row r="141" customFormat="false" ht="15" hidden="false" customHeight="false" outlineLevel="0" collapsed="false">
      <c r="A141" s="26"/>
      <c r="B141" s="26"/>
      <c r="C141" s="26"/>
      <c r="D141" s="28"/>
      <c r="E141" s="26"/>
      <c r="F141" s="26"/>
      <c r="G141" s="28"/>
      <c r="I141" s="25" t="str">
        <f aca="false">IF($A141="","","INSERT INTO Comentarios (ID_Post, ID_Autor, Texto, DataComentario, Status_Moderacao, ID_Moderador, DataModeracao) SELECT "&amp;"(SELECT ID_Post FROM Posts WHERE URL_Post = '"&amp;SUBSTITUTE($A141,"'","''")&amp;"')"&amp;", "&amp;"(SELECT ID_Usuario FROM Usuario WHERE NomeUsuario = '"&amp;SUBSTITUTE($B141,"'","''")&amp;"')"&amp;", "&amp;"'"&amp;SUBSTITUTE($C141,"'","''")&amp;"'"&amp;", "&amp;IF($D141="","SYSDATETIME()","'"&amp;SUBSTITUTE($D141,"'","''")&amp;"'")&amp;", "&amp;IF($E141="","'Pendente'","'"&amp;SUBSTITUTE($E141,"'","''")&amp;"'")&amp;", "&amp;IF($F141="","NULL","(SELECT ID_Usuario FROM Usuario WHERE NomeUsuario = '"&amp;SUBSTITUTE($F141,"'","''")&amp;"')")&amp;", "&amp;IF($G141="","NULL","'"&amp;SUBSTITUTE($G141,"'","''")&amp;"'")&amp;" WHERE NOT EXISTS (SELECT 1 FROM Comentarios c JOIN Posts p ON p.ID_Post = c.ID_Post JOIN Usuario u ON u.ID_Usuario = c.ID_Autor WHERE p.URL_Post = "&amp;"'"&amp;SUBSTITUTE($A141,"'","''")&amp;"'"&amp;" AND u.NomeUsuario = "&amp;"'"&amp;SUBSTITUTE($B141,"'","''")&amp;"'"&amp;" AND c.Texto = "&amp;"'"&amp;SUBSTITUTE($C141,"'","''")&amp;"'"&amp;");")</f>
        <v/>
      </c>
    </row>
    <row r="142" customFormat="false" ht="15" hidden="false" customHeight="false" outlineLevel="0" collapsed="false">
      <c r="A142" s="26"/>
      <c r="B142" s="26"/>
      <c r="C142" s="26"/>
      <c r="D142" s="28"/>
      <c r="E142" s="26"/>
      <c r="F142" s="26"/>
      <c r="G142" s="28"/>
      <c r="I142" s="25" t="str">
        <f aca="false">IF($A142="","","INSERT INTO Comentarios (ID_Post, ID_Autor, Texto, DataComentario, Status_Moderacao, ID_Moderador, DataModeracao) SELECT "&amp;"(SELECT ID_Post FROM Posts WHERE URL_Post = '"&amp;SUBSTITUTE($A142,"'","''")&amp;"')"&amp;", "&amp;"(SELECT ID_Usuario FROM Usuario WHERE NomeUsuario = '"&amp;SUBSTITUTE($B142,"'","''")&amp;"')"&amp;", "&amp;"'"&amp;SUBSTITUTE($C142,"'","''")&amp;"'"&amp;", "&amp;IF($D142="","SYSDATETIME()","'"&amp;SUBSTITUTE($D142,"'","''")&amp;"'")&amp;", "&amp;IF($E142="","'Pendente'","'"&amp;SUBSTITUTE($E142,"'","''")&amp;"'")&amp;", "&amp;IF($F142="","NULL","(SELECT ID_Usuario FROM Usuario WHERE NomeUsuario = '"&amp;SUBSTITUTE($F142,"'","''")&amp;"')")&amp;", "&amp;IF($G142="","NULL","'"&amp;SUBSTITUTE($G142,"'","''")&amp;"'")&amp;" WHERE NOT EXISTS (SELECT 1 FROM Comentarios c JOIN Posts p ON p.ID_Post = c.ID_Post JOIN Usuario u ON u.ID_Usuario = c.ID_Autor WHERE p.URL_Post = "&amp;"'"&amp;SUBSTITUTE($A142,"'","''")&amp;"'"&amp;" AND u.NomeUsuario = "&amp;"'"&amp;SUBSTITUTE($B142,"'","''")&amp;"'"&amp;" AND c.Texto = "&amp;"'"&amp;SUBSTITUTE($C142,"'","''")&amp;"'"&amp;");")</f>
        <v/>
      </c>
    </row>
    <row r="143" customFormat="false" ht="15" hidden="false" customHeight="false" outlineLevel="0" collapsed="false">
      <c r="A143" s="26"/>
      <c r="B143" s="26"/>
      <c r="C143" s="26"/>
      <c r="D143" s="28"/>
      <c r="E143" s="26"/>
      <c r="F143" s="26"/>
      <c r="G143" s="28"/>
      <c r="I143" s="25" t="str">
        <f aca="false">IF($A143="","","INSERT INTO Comentarios (ID_Post, ID_Autor, Texto, DataComentario, Status_Moderacao, ID_Moderador, DataModeracao) SELECT "&amp;"(SELECT ID_Post FROM Posts WHERE URL_Post = '"&amp;SUBSTITUTE($A143,"'","''")&amp;"')"&amp;", "&amp;"(SELECT ID_Usuario FROM Usuario WHERE NomeUsuario = '"&amp;SUBSTITUTE($B143,"'","''")&amp;"')"&amp;", "&amp;"'"&amp;SUBSTITUTE($C143,"'","''")&amp;"'"&amp;", "&amp;IF($D143="","SYSDATETIME()","'"&amp;SUBSTITUTE($D143,"'","''")&amp;"'")&amp;", "&amp;IF($E143="","'Pendente'","'"&amp;SUBSTITUTE($E143,"'","''")&amp;"'")&amp;", "&amp;IF($F143="","NULL","(SELECT ID_Usuario FROM Usuario WHERE NomeUsuario = '"&amp;SUBSTITUTE($F143,"'","''")&amp;"')")&amp;", "&amp;IF($G143="","NULL","'"&amp;SUBSTITUTE($G143,"'","''")&amp;"'")&amp;" WHERE NOT EXISTS (SELECT 1 FROM Comentarios c JOIN Posts p ON p.ID_Post = c.ID_Post JOIN Usuario u ON u.ID_Usuario = c.ID_Autor WHERE p.URL_Post = "&amp;"'"&amp;SUBSTITUTE($A143,"'","''")&amp;"'"&amp;" AND u.NomeUsuario = "&amp;"'"&amp;SUBSTITUTE($B143,"'","''")&amp;"'"&amp;" AND c.Texto = "&amp;"'"&amp;SUBSTITUTE($C143,"'","''")&amp;"'"&amp;");")</f>
        <v/>
      </c>
    </row>
    <row r="144" customFormat="false" ht="15" hidden="false" customHeight="false" outlineLevel="0" collapsed="false">
      <c r="A144" s="26"/>
      <c r="B144" s="26"/>
      <c r="C144" s="26"/>
      <c r="D144" s="28"/>
      <c r="E144" s="26"/>
      <c r="F144" s="26"/>
      <c r="G144" s="28"/>
      <c r="I144" s="25" t="str">
        <f aca="false">IF($A144="","","INSERT INTO Comentarios (ID_Post, ID_Autor, Texto, DataComentario, Status_Moderacao, ID_Moderador, DataModeracao) SELECT "&amp;"(SELECT ID_Post FROM Posts WHERE URL_Post = '"&amp;SUBSTITUTE($A144,"'","''")&amp;"')"&amp;", "&amp;"(SELECT ID_Usuario FROM Usuario WHERE NomeUsuario = '"&amp;SUBSTITUTE($B144,"'","''")&amp;"')"&amp;", "&amp;"'"&amp;SUBSTITUTE($C144,"'","''")&amp;"'"&amp;", "&amp;IF($D144="","SYSDATETIME()","'"&amp;SUBSTITUTE($D144,"'","''")&amp;"'")&amp;", "&amp;IF($E144="","'Pendente'","'"&amp;SUBSTITUTE($E144,"'","''")&amp;"'")&amp;", "&amp;IF($F144="","NULL","(SELECT ID_Usuario FROM Usuario WHERE NomeUsuario = '"&amp;SUBSTITUTE($F144,"'","''")&amp;"')")&amp;", "&amp;IF($G144="","NULL","'"&amp;SUBSTITUTE($G144,"'","''")&amp;"'")&amp;" WHERE NOT EXISTS (SELECT 1 FROM Comentarios c JOIN Posts p ON p.ID_Post = c.ID_Post JOIN Usuario u ON u.ID_Usuario = c.ID_Autor WHERE p.URL_Post = "&amp;"'"&amp;SUBSTITUTE($A144,"'","''")&amp;"'"&amp;" AND u.NomeUsuario = "&amp;"'"&amp;SUBSTITUTE($B144,"'","''")&amp;"'"&amp;" AND c.Texto = "&amp;"'"&amp;SUBSTITUTE($C144,"'","''")&amp;"'"&amp;");")</f>
        <v/>
      </c>
    </row>
    <row r="145" customFormat="false" ht="15" hidden="false" customHeight="false" outlineLevel="0" collapsed="false">
      <c r="A145" s="26"/>
      <c r="B145" s="26"/>
      <c r="C145" s="26"/>
      <c r="D145" s="28"/>
      <c r="E145" s="26"/>
      <c r="F145" s="26"/>
      <c r="G145" s="28"/>
      <c r="I145" s="25" t="str">
        <f aca="false">IF($A145="","","INSERT INTO Comentarios (ID_Post, ID_Autor, Texto, DataComentario, Status_Moderacao, ID_Moderador, DataModeracao) SELECT "&amp;"(SELECT ID_Post FROM Posts WHERE URL_Post = '"&amp;SUBSTITUTE($A145,"'","''")&amp;"')"&amp;", "&amp;"(SELECT ID_Usuario FROM Usuario WHERE NomeUsuario = '"&amp;SUBSTITUTE($B145,"'","''")&amp;"')"&amp;", "&amp;"'"&amp;SUBSTITUTE($C145,"'","''")&amp;"'"&amp;", "&amp;IF($D145="","SYSDATETIME()","'"&amp;SUBSTITUTE($D145,"'","''")&amp;"'")&amp;", "&amp;IF($E145="","'Pendente'","'"&amp;SUBSTITUTE($E145,"'","''")&amp;"'")&amp;", "&amp;IF($F145="","NULL","(SELECT ID_Usuario FROM Usuario WHERE NomeUsuario = '"&amp;SUBSTITUTE($F145,"'","''")&amp;"')")&amp;", "&amp;IF($G145="","NULL","'"&amp;SUBSTITUTE($G145,"'","''")&amp;"'")&amp;" WHERE NOT EXISTS (SELECT 1 FROM Comentarios c JOIN Posts p ON p.ID_Post = c.ID_Post JOIN Usuario u ON u.ID_Usuario = c.ID_Autor WHERE p.URL_Post = "&amp;"'"&amp;SUBSTITUTE($A145,"'","''")&amp;"'"&amp;" AND u.NomeUsuario = "&amp;"'"&amp;SUBSTITUTE($B145,"'","''")&amp;"'"&amp;" AND c.Texto = "&amp;"'"&amp;SUBSTITUTE($C145,"'","''")&amp;"'"&amp;");")</f>
        <v/>
      </c>
    </row>
    <row r="146" customFormat="false" ht="15" hidden="false" customHeight="false" outlineLevel="0" collapsed="false">
      <c r="A146" s="26"/>
      <c r="B146" s="26"/>
      <c r="C146" s="26"/>
      <c r="D146" s="28"/>
      <c r="E146" s="26"/>
      <c r="F146" s="26"/>
      <c r="G146" s="28"/>
      <c r="I146" s="25" t="str">
        <f aca="false">IF($A146="","","INSERT INTO Comentarios (ID_Post, ID_Autor, Texto, DataComentario, Status_Moderacao, ID_Moderador, DataModeracao) SELECT "&amp;"(SELECT ID_Post FROM Posts WHERE URL_Post = '"&amp;SUBSTITUTE($A146,"'","''")&amp;"')"&amp;", "&amp;"(SELECT ID_Usuario FROM Usuario WHERE NomeUsuario = '"&amp;SUBSTITUTE($B146,"'","''")&amp;"')"&amp;", "&amp;"'"&amp;SUBSTITUTE($C146,"'","''")&amp;"'"&amp;", "&amp;IF($D146="","SYSDATETIME()","'"&amp;SUBSTITUTE($D146,"'","''")&amp;"'")&amp;", "&amp;IF($E146="","'Pendente'","'"&amp;SUBSTITUTE($E146,"'","''")&amp;"'")&amp;", "&amp;IF($F146="","NULL","(SELECT ID_Usuario FROM Usuario WHERE NomeUsuario = '"&amp;SUBSTITUTE($F146,"'","''")&amp;"')")&amp;", "&amp;IF($G146="","NULL","'"&amp;SUBSTITUTE($G146,"'","''")&amp;"'")&amp;" WHERE NOT EXISTS (SELECT 1 FROM Comentarios c JOIN Posts p ON p.ID_Post = c.ID_Post JOIN Usuario u ON u.ID_Usuario = c.ID_Autor WHERE p.URL_Post = "&amp;"'"&amp;SUBSTITUTE($A146,"'","''")&amp;"'"&amp;" AND u.NomeUsuario = "&amp;"'"&amp;SUBSTITUTE($B146,"'","''")&amp;"'"&amp;" AND c.Texto = "&amp;"'"&amp;SUBSTITUTE($C146,"'","''")&amp;"'"&amp;");")</f>
        <v/>
      </c>
    </row>
    <row r="147" customFormat="false" ht="15" hidden="false" customHeight="false" outlineLevel="0" collapsed="false">
      <c r="A147" s="26"/>
      <c r="B147" s="26"/>
      <c r="C147" s="26"/>
      <c r="D147" s="28"/>
      <c r="E147" s="26"/>
      <c r="F147" s="26"/>
      <c r="G147" s="28"/>
      <c r="I147" s="25" t="str">
        <f aca="false">IF($A147="","","INSERT INTO Comentarios (ID_Post, ID_Autor, Texto, DataComentario, Status_Moderacao, ID_Moderador, DataModeracao) SELECT "&amp;"(SELECT ID_Post FROM Posts WHERE URL_Post = '"&amp;SUBSTITUTE($A147,"'","''")&amp;"')"&amp;", "&amp;"(SELECT ID_Usuario FROM Usuario WHERE NomeUsuario = '"&amp;SUBSTITUTE($B147,"'","''")&amp;"')"&amp;", "&amp;"'"&amp;SUBSTITUTE($C147,"'","''")&amp;"'"&amp;", "&amp;IF($D147="","SYSDATETIME()","'"&amp;SUBSTITUTE($D147,"'","''")&amp;"'")&amp;", "&amp;IF($E147="","'Pendente'","'"&amp;SUBSTITUTE($E147,"'","''")&amp;"'")&amp;", "&amp;IF($F147="","NULL","(SELECT ID_Usuario FROM Usuario WHERE NomeUsuario = '"&amp;SUBSTITUTE($F147,"'","''")&amp;"')")&amp;", "&amp;IF($G147="","NULL","'"&amp;SUBSTITUTE($G147,"'","''")&amp;"'")&amp;" WHERE NOT EXISTS (SELECT 1 FROM Comentarios c JOIN Posts p ON p.ID_Post = c.ID_Post JOIN Usuario u ON u.ID_Usuario = c.ID_Autor WHERE p.URL_Post = "&amp;"'"&amp;SUBSTITUTE($A147,"'","''")&amp;"'"&amp;" AND u.NomeUsuario = "&amp;"'"&amp;SUBSTITUTE($B147,"'","''")&amp;"'"&amp;" AND c.Texto = "&amp;"'"&amp;SUBSTITUTE($C147,"'","''")&amp;"'"&amp;");")</f>
        <v/>
      </c>
    </row>
    <row r="148" customFormat="false" ht="15" hidden="false" customHeight="false" outlineLevel="0" collapsed="false">
      <c r="A148" s="26"/>
      <c r="B148" s="26"/>
      <c r="C148" s="26"/>
      <c r="D148" s="28"/>
      <c r="E148" s="26"/>
      <c r="F148" s="26"/>
      <c r="G148" s="28"/>
      <c r="I148" s="25" t="str">
        <f aca="false">IF($A148="","","INSERT INTO Comentarios (ID_Post, ID_Autor, Texto, DataComentario, Status_Moderacao, ID_Moderador, DataModeracao) SELECT "&amp;"(SELECT ID_Post FROM Posts WHERE URL_Post = '"&amp;SUBSTITUTE($A148,"'","''")&amp;"')"&amp;", "&amp;"(SELECT ID_Usuario FROM Usuario WHERE NomeUsuario = '"&amp;SUBSTITUTE($B148,"'","''")&amp;"')"&amp;", "&amp;"'"&amp;SUBSTITUTE($C148,"'","''")&amp;"'"&amp;", "&amp;IF($D148="","SYSDATETIME()","'"&amp;SUBSTITUTE($D148,"'","''")&amp;"'")&amp;", "&amp;IF($E148="","'Pendente'","'"&amp;SUBSTITUTE($E148,"'","''")&amp;"'")&amp;", "&amp;IF($F148="","NULL","(SELECT ID_Usuario FROM Usuario WHERE NomeUsuario = '"&amp;SUBSTITUTE($F148,"'","''")&amp;"')")&amp;", "&amp;IF($G148="","NULL","'"&amp;SUBSTITUTE($G148,"'","''")&amp;"'")&amp;" WHERE NOT EXISTS (SELECT 1 FROM Comentarios c JOIN Posts p ON p.ID_Post = c.ID_Post JOIN Usuario u ON u.ID_Usuario = c.ID_Autor WHERE p.URL_Post = "&amp;"'"&amp;SUBSTITUTE($A148,"'","''")&amp;"'"&amp;" AND u.NomeUsuario = "&amp;"'"&amp;SUBSTITUTE($B148,"'","''")&amp;"'"&amp;" AND c.Texto = "&amp;"'"&amp;SUBSTITUTE($C148,"'","''")&amp;"'"&amp;");")</f>
        <v/>
      </c>
    </row>
    <row r="149" customFormat="false" ht="15" hidden="false" customHeight="false" outlineLevel="0" collapsed="false">
      <c r="A149" s="26"/>
      <c r="B149" s="26"/>
      <c r="C149" s="26"/>
      <c r="D149" s="28"/>
      <c r="E149" s="26"/>
      <c r="F149" s="26"/>
      <c r="G149" s="28"/>
      <c r="I149" s="25" t="str">
        <f aca="false">IF($A149="","","INSERT INTO Comentarios (ID_Post, ID_Autor, Texto, DataComentario, Status_Moderacao, ID_Moderador, DataModeracao) SELECT "&amp;"(SELECT ID_Post FROM Posts WHERE URL_Post = '"&amp;SUBSTITUTE($A149,"'","''")&amp;"')"&amp;", "&amp;"(SELECT ID_Usuario FROM Usuario WHERE NomeUsuario = '"&amp;SUBSTITUTE($B149,"'","''")&amp;"')"&amp;", "&amp;"'"&amp;SUBSTITUTE($C149,"'","''")&amp;"'"&amp;", "&amp;IF($D149="","SYSDATETIME()","'"&amp;SUBSTITUTE($D149,"'","''")&amp;"'")&amp;", "&amp;IF($E149="","'Pendente'","'"&amp;SUBSTITUTE($E149,"'","''")&amp;"'")&amp;", "&amp;IF($F149="","NULL","(SELECT ID_Usuario FROM Usuario WHERE NomeUsuario = '"&amp;SUBSTITUTE($F149,"'","''")&amp;"')")&amp;", "&amp;IF($G149="","NULL","'"&amp;SUBSTITUTE($G149,"'","''")&amp;"'")&amp;" WHERE NOT EXISTS (SELECT 1 FROM Comentarios c JOIN Posts p ON p.ID_Post = c.ID_Post JOIN Usuario u ON u.ID_Usuario = c.ID_Autor WHERE p.URL_Post = "&amp;"'"&amp;SUBSTITUTE($A149,"'","''")&amp;"'"&amp;" AND u.NomeUsuario = "&amp;"'"&amp;SUBSTITUTE($B149,"'","''")&amp;"'"&amp;" AND c.Texto = "&amp;"'"&amp;SUBSTITUTE($C149,"'","''")&amp;"'"&amp;");")</f>
        <v/>
      </c>
    </row>
    <row r="150" customFormat="false" ht="15" hidden="false" customHeight="false" outlineLevel="0" collapsed="false">
      <c r="A150" s="26"/>
      <c r="B150" s="26"/>
      <c r="C150" s="26"/>
      <c r="D150" s="28"/>
      <c r="E150" s="26"/>
      <c r="F150" s="26"/>
      <c r="G150" s="28"/>
      <c r="I150" s="25" t="str">
        <f aca="false">IF($A150="","","INSERT INTO Comentarios (ID_Post, ID_Autor, Texto, DataComentario, Status_Moderacao, ID_Moderador, DataModeracao) SELECT "&amp;"(SELECT ID_Post FROM Posts WHERE URL_Post = '"&amp;SUBSTITUTE($A150,"'","''")&amp;"')"&amp;", "&amp;"(SELECT ID_Usuario FROM Usuario WHERE NomeUsuario = '"&amp;SUBSTITUTE($B150,"'","''")&amp;"')"&amp;", "&amp;"'"&amp;SUBSTITUTE($C150,"'","''")&amp;"'"&amp;", "&amp;IF($D150="","SYSDATETIME()","'"&amp;SUBSTITUTE($D150,"'","''")&amp;"'")&amp;", "&amp;IF($E150="","'Pendente'","'"&amp;SUBSTITUTE($E150,"'","''")&amp;"'")&amp;", "&amp;IF($F150="","NULL","(SELECT ID_Usuario FROM Usuario WHERE NomeUsuario = '"&amp;SUBSTITUTE($F150,"'","''")&amp;"')")&amp;", "&amp;IF($G150="","NULL","'"&amp;SUBSTITUTE($G150,"'","''")&amp;"'")&amp;" WHERE NOT EXISTS (SELECT 1 FROM Comentarios c JOIN Posts p ON p.ID_Post = c.ID_Post JOIN Usuario u ON u.ID_Usuario = c.ID_Autor WHERE p.URL_Post = "&amp;"'"&amp;SUBSTITUTE($A150,"'","''")&amp;"'"&amp;" AND u.NomeUsuario = "&amp;"'"&amp;SUBSTITUTE($B150,"'","''")&amp;"'"&amp;" AND c.Texto = "&amp;"'"&amp;SUBSTITUTE($C150,"'","''")&amp;"'"&amp;");")</f>
        <v/>
      </c>
    </row>
    <row r="151" customFormat="false" ht="15" hidden="false" customHeight="false" outlineLevel="0" collapsed="false">
      <c r="A151" s="26"/>
      <c r="B151" s="26"/>
      <c r="C151" s="26"/>
      <c r="D151" s="28"/>
      <c r="E151" s="26"/>
      <c r="F151" s="26"/>
      <c r="G151" s="28"/>
      <c r="I151" s="25" t="str">
        <f aca="false">IF($A151="","","INSERT INTO Comentarios (ID_Post, ID_Autor, Texto, DataComentario, Status_Moderacao, ID_Moderador, DataModeracao) SELECT "&amp;"(SELECT ID_Post FROM Posts WHERE URL_Post = '"&amp;SUBSTITUTE($A151,"'","''")&amp;"')"&amp;", "&amp;"(SELECT ID_Usuario FROM Usuario WHERE NomeUsuario = '"&amp;SUBSTITUTE($B151,"'","''")&amp;"')"&amp;", "&amp;"'"&amp;SUBSTITUTE($C151,"'","''")&amp;"'"&amp;", "&amp;IF($D151="","SYSDATETIME()","'"&amp;SUBSTITUTE($D151,"'","''")&amp;"'")&amp;", "&amp;IF($E151="","'Pendente'","'"&amp;SUBSTITUTE($E151,"'","''")&amp;"'")&amp;", "&amp;IF($F151="","NULL","(SELECT ID_Usuario FROM Usuario WHERE NomeUsuario = '"&amp;SUBSTITUTE($F151,"'","''")&amp;"')")&amp;", "&amp;IF($G151="","NULL","'"&amp;SUBSTITUTE($G151,"'","''")&amp;"'")&amp;" WHERE NOT EXISTS (SELECT 1 FROM Comentarios c JOIN Posts p ON p.ID_Post = c.ID_Post JOIN Usuario u ON u.ID_Usuario = c.ID_Autor WHERE p.URL_Post = "&amp;"'"&amp;SUBSTITUTE($A151,"'","''")&amp;"'"&amp;" AND u.NomeUsuario = "&amp;"'"&amp;SUBSTITUTE($B151,"'","''")&amp;"'"&amp;" AND c.Texto = "&amp;"'"&amp;SUBSTITUTE($C151,"'","''")&amp;"'"&amp;");")</f>
        <v/>
      </c>
    </row>
    <row r="152" customFormat="false" ht="15" hidden="false" customHeight="false" outlineLevel="0" collapsed="false">
      <c r="A152" s="26"/>
      <c r="B152" s="26"/>
      <c r="C152" s="26"/>
      <c r="D152" s="28"/>
      <c r="E152" s="26"/>
      <c r="F152" s="26"/>
      <c r="G152" s="28"/>
      <c r="I152" s="25" t="str">
        <f aca="false">IF($A152="","","INSERT INTO Comentarios (ID_Post, ID_Autor, Texto, DataComentario, Status_Moderacao, ID_Moderador, DataModeracao) SELECT "&amp;"(SELECT ID_Post FROM Posts WHERE URL_Post = '"&amp;SUBSTITUTE($A152,"'","''")&amp;"')"&amp;", "&amp;"(SELECT ID_Usuario FROM Usuario WHERE NomeUsuario = '"&amp;SUBSTITUTE($B152,"'","''")&amp;"')"&amp;", "&amp;"'"&amp;SUBSTITUTE($C152,"'","''")&amp;"'"&amp;", "&amp;IF($D152="","SYSDATETIME()","'"&amp;SUBSTITUTE($D152,"'","''")&amp;"'")&amp;", "&amp;IF($E152="","'Pendente'","'"&amp;SUBSTITUTE($E152,"'","''")&amp;"'")&amp;", "&amp;IF($F152="","NULL","(SELECT ID_Usuario FROM Usuario WHERE NomeUsuario = '"&amp;SUBSTITUTE($F152,"'","''")&amp;"')")&amp;", "&amp;IF($G152="","NULL","'"&amp;SUBSTITUTE($G152,"'","''")&amp;"'")&amp;" WHERE NOT EXISTS (SELECT 1 FROM Comentarios c JOIN Posts p ON p.ID_Post = c.ID_Post JOIN Usuario u ON u.ID_Usuario = c.ID_Autor WHERE p.URL_Post = "&amp;"'"&amp;SUBSTITUTE($A152,"'","''")&amp;"'"&amp;" AND u.NomeUsuario = "&amp;"'"&amp;SUBSTITUTE($B152,"'","''")&amp;"'"&amp;" AND c.Texto = "&amp;"'"&amp;SUBSTITUTE($C152,"'","''")&amp;"'"&amp;");")</f>
        <v/>
      </c>
    </row>
    <row r="153" customFormat="false" ht="15" hidden="false" customHeight="false" outlineLevel="0" collapsed="false">
      <c r="A153" s="26"/>
      <c r="B153" s="26"/>
      <c r="C153" s="26"/>
      <c r="D153" s="28"/>
      <c r="E153" s="26"/>
      <c r="F153" s="26"/>
      <c r="G153" s="28"/>
      <c r="I153" s="25" t="str">
        <f aca="false">IF($A153="","","INSERT INTO Comentarios (ID_Post, ID_Autor, Texto, DataComentario, Status_Moderacao, ID_Moderador, DataModeracao) SELECT "&amp;"(SELECT ID_Post FROM Posts WHERE URL_Post = '"&amp;SUBSTITUTE($A153,"'","''")&amp;"')"&amp;", "&amp;"(SELECT ID_Usuario FROM Usuario WHERE NomeUsuario = '"&amp;SUBSTITUTE($B153,"'","''")&amp;"')"&amp;", "&amp;"'"&amp;SUBSTITUTE($C153,"'","''")&amp;"'"&amp;", "&amp;IF($D153="","SYSDATETIME()","'"&amp;SUBSTITUTE($D153,"'","''")&amp;"'")&amp;", "&amp;IF($E153="","'Pendente'","'"&amp;SUBSTITUTE($E153,"'","''")&amp;"'")&amp;", "&amp;IF($F153="","NULL","(SELECT ID_Usuario FROM Usuario WHERE NomeUsuario = '"&amp;SUBSTITUTE($F153,"'","''")&amp;"')")&amp;", "&amp;IF($G153="","NULL","'"&amp;SUBSTITUTE($G153,"'","''")&amp;"'")&amp;" WHERE NOT EXISTS (SELECT 1 FROM Comentarios c JOIN Posts p ON p.ID_Post = c.ID_Post JOIN Usuario u ON u.ID_Usuario = c.ID_Autor WHERE p.URL_Post = "&amp;"'"&amp;SUBSTITUTE($A153,"'","''")&amp;"'"&amp;" AND u.NomeUsuario = "&amp;"'"&amp;SUBSTITUTE($B153,"'","''")&amp;"'"&amp;" AND c.Texto = "&amp;"'"&amp;SUBSTITUTE($C153,"'","''")&amp;"'"&amp;");")</f>
        <v/>
      </c>
    </row>
    <row r="154" customFormat="false" ht="15" hidden="false" customHeight="false" outlineLevel="0" collapsed="false">
      <c r="A154" s="26"/>
      <c r="B154" s="26"/>
      <c r="C154" s="26"/>
      <c r="D154" s="28"/>
      <c r="E154" s="26"/>
      <c r="F154" s="26"/>
      <c r="G154" s="28"/>
      <c r="I154" s="25" t="str">
        <f aca="false">IF($A154="","","INSERT INTO Comentarios (ID_Post, ID_Autor, Texto, DataComentario, Status_Moderacao, ID_Moderador, DataModeracao) SELECT "&amp;"(SELECT ID_Post FROM Posts WHERE URL_Post = '"&amp;SUBSTITUTE($A154,"'","''")&amp;"')"&amp;", "&amp;"(SELECT ID_Usuario FROM Usuario WHERE NomeUsuario = '"&amp;SUBSTITUTE($B154,"'","''")&amp;"')"&amp;", "&amp;"'"&amp;SUBSTITUTE($C154,"'","''")&amp;"'"&amp;", "&amp;IF($D154="","SYSDATETIME()","'"&amp;SUBSTITUTE($D154,"'","''")&amp;"'")&amp;", "&amp;IF($E154="","'Pendente'","'"&amp;SUBSTITUTE($E154,"'","''")&amp;"'")&amp;", "&amp;IF($F154="","NULL","(SELECT ID_Usuario FROM Usuario WHERE NomeUsuario = '"&amp;SUBSTITUTE($F154,"'","''")&amp;"')")&amp;", "&amp;IF($G154="","NULL","'"&amp;SUBSTITUTE($G154,"'","''")&amp;"'")&amp;" WHERE NOT EXISTS (SELECT 1 FROM Comentarios c JOIN Posts p ON p.ID_Post = c.ID_Post JOIN Usuario u ON u.ID_Usuario = c.ID_Autor WHERE p.URL_Post = "&amp;"'"&amp;SUBSTITUTE($A154,"'","''")&amp;"'"&amp;" AND u.NomeUsuario = "&amp;"'"&amp;SUBSTITUTE($B154,"'","''")&amp;"'"&amp;" AND c.Texto = "&amp;"'"&amp;SUBSTITUTE($C154,"'","''")&amp;"'"&amp;");")</f>
        <v/>
      </c>
    </row>
    <row r="155" customFormat="false" ht="15" hidden="false" customHeight="false" outlineLevel="0" collapsed="false">
      <c r="A155" s="26"/>
      <c r="B155" s="26"/>
      <c r="C155" s="26"/>
      <c r="D155" s="28"/>
      <c r="E155" s="26"/>
      <c r="F155" s="26"/>
      <c r="G155" s="28"/>
      <c r="I155" s="25" t="str">
        <f aca="false">IF($A155="","","INSERT INTO Comentarios (ID_Post, ID_Autor, Texto, DataComentario, Status_Moderacao, ID_Moderador, DataModeracao) SELECT "&amp;"(SELECT ID_Post FROM Posts WHERE URL_Post = '"&amp;SUBSTITUTE($A155,"'","''")&amp;"')"&amp;", "&amp;"(SELECT ID_Usuario FROM Usuario WHERE NomeUsuario = '"&amp;SUBSTITUTE($B155,"'","''")&amp;"')"&amp;", "&amp;"'"&amp;SUBSTITUTE($C155,"'","''")&amp;"'"&amp;", "&amp;IF($D155="","SYSDATETIME()","'"&amp;SUBSTITUTE($D155,"'","''")&amp;"'")&amp;", "&amp;IF($E155="","'Pendente'","'"&amp;SUBSTITUTE($E155,"'","''")&amp;"'")&amp;", "&amp;IF($F155="","NULL","(SELECT ID_Usuario FROM Usuario WHERE NomeUsuario = '"&amp;SUBSTITUTE($F155,"'","''")&amp;"')")&amp;", "&amp;IF($G155="","NULL","'"&amp;SUBSTITUTE($G155,"'","''")&amp;"'")&amp;" WHERE NOT EXISTS (SELECT 1 FROM Comentarios c JOIN Posts p ON p.ID_Post = c.ID_Post JOIN Usuario u ON u.ID_Usuario = c.ID_Autor WHERE p.URL_Post = "&amp;"'"&amp;SUBSTITUTE($A155,"'","''")&amp;"'"&amp;" AND u.NomeUsuario = "&amp;"'"&amp;SUBSTITUTE($B155,"'","''")&amp;"'"&amp;" AND c.Texto = "&amp;"'"&amp;SUBSTITUTE($C155,"'","''")&amp;"'"&amp;");")</f>
        <v/>
      </c>
    </row>
    <row r="156" customFormat="false" ht="15" hidden="false" customHeight="false" outlineLevel="0" collapsed="false">
      <c r="A156" s="26"/>
      <c r="B156" s="26"/>
      <c r="C156" s="26"/>
      <c r="D156" s="28"/>
      <c r="E156" s="26"/>
      <c r="F156" s="26"/>
      <c r="G156" s="28"/>
      <c r="I156" s="25" t="str">
        <f aca="false">IF($A156="","","INSERT INTO Comentarios (ID_Post, ID_Autor, Texto, DataComentario, Status_Moderacao, ID_Moderador, DataModeracao) SELECT "&amp;"(SELECT ID_Post FROM Posts WHERE URL_Post = '"&amp;SUBSTITUTE($A156,"'","''")&amp;"')"&amp;", "&amp;"(SELECT ID_Usuario FROM Usuario WHERE NomeUsuario = '"&amp;SUBSTITUTE($B156,"'","''")&amp;"')"&amp;", "&amp;"'"&amp;SUBSTITUTE($C156,"'","''")&amp;"'"&amp;", "&amp;IF($D156="","SYSDATETIME()","'"&amp;SUBSTITUTE($D156,"'","''")&amp;"'")&amp;", "&amp;IF($E156="","'Pendente'","'"&amp;SUBSTITUTE($E156,"'","''")&amp;"'")&amp;", "&amp;IF($F156="","NULL","(SELECT ID_Usuario FROM Usuario WHERE NomeUsuario = '"&amp;SUBSTITUTE($F156,"'","''")&amp;"')")&amp;", "&amp;IF($G156="","NULL","'"&amp;SUBSTITUTE($G156,"'","''")&amp;"'")&amp;" WHERE NOT EXISTS (SELECT 1 FROM Comentarios c JOIN Posts p ON p.ID_Post = c.ID_Post JOIN Usuario u ON u.ID_Usuario = c.ID_Autor WHERE p.URL_Post = "&amp;"'"&amp;SUBSTITUTE($A156,"'","''")&amp;"'"&amp;" AND u.NomeUsuario = "&amp;"'"&amp;SUBSTITUTE($B156,"'","''")&amp;"'"&amp;" AND c.Texto = "&amp;"'"&amp;SUBSTITUTE($C156,"'","''")&amp;"'"&amp;");")</f>
        <v/>
      </c>
    </row>
    <row r="157" customFormat="false" ht="15" hidden="false" customHeight="false" outlineLevel="0" collapsed="false">
      <c r="A157" s="26"/>
      <c r="B157" s="26"/>
      <c r="C157" s="26"/>
      <c r="D157" s="28"/>
      <c r="E157" s="26"/>
      <c r="F157" s="26"/>
      <c r="G157" s="28"/>
      <c r="I157" s="25" t="str">
        <f aca="false">IF($A157="","","INSERT INTO Comentarios (ID_Post, ID_Autor, Texto, DataComentario, Status_Moderacao, ID_Moderador, DataModeracao) SELECT "&amp;"(SELECT ID_Post FROM Posts WHERE URL_Post = '"&amp;SUBSTITUTE($A157,"'","''")&amp;"')"&amp;", "&amp;"(SELECT ID_Usuario FROM Usuario WHERE NomeUsuario = '"&amp;SUBSTITUTE($B157,"'","''")&amp;"')"&amp;", "&amp;"'"&amp;SUBSTITUTE($C157,"'","''")&amp;"'"&amp;", "&amp;IF($D157="","SYSDATETIME()","'"&amp;SUBSTITUTE($D157,"'","''")&amp;"'")&amp;", "&amp;IF($E157="","'Pendente'","'"&amp;SUBSTITUTE($E157,"'","''")&amp;"'")&amp;", "&amp;IF($F157="","NULL","(SELECT ID_Usuario FROM Usuario WHERE NomeUsuario = '"&amp;SUBSTITUTE($F157,"'","''")&amp;"')")&amp;", "&amp;IF($G157="","NULL","'"&amp;SUBSTITUTE($G157,"'","''")&amp;"'")&amp;" WHERE NOT EXISTS (SELECT 1 FROM Comentarios c JOIN Posts p ON p.ID_Post = c.ID_Post JOIN Usuario u ON u.ID_Usuario = c.ID_Autor WHERE p.URL_Post = "&amp;"'"&amp;SUBSTITUTE($A157,"'","''")&amp;"'"&amp;" AND u.NomeUsuario = "&amp;"'"&amp;SUBSTITUTE($B157,"'","''")&amp;"'"&amp;" AND c.Texto = "&amp;"'"&amp;SUBSTITUTE($C157,"'","''")&amp;"'"&amp;");")</f>
        <v/>
      </c>
    </row>
    <row r="158" customFormat="false" ht="15" hidden="false" customHeight="false" outlineLevel="0" collapsed="false">
      <c r="A158" s="26"/>
      <c r="B158" s="26"/>
      <c r="C158" s="26"/>
      <c r="D158" s="28"/>
      <c r="E158" s="26"/>
      <c r="F158" s="26"/>
      <c r="G158" s="28"/>
      <c r="I158" s="25" t="str">
        <f aca="false">IF($A158="","","INSERT INTO Comentarios (ID_Post, ID_Autor, Texto, DataComentario, Status_Moderacao, ID_Moderador, DataModeracao) SELECT "&amp;"(SELECT ID_Post FROM Posts WHERE URL_Post = '"&amp;SUBSTITUTE($A158,"'","''")&amp;"')"&amp;", "&amp;"(SELECT ID_Usuario FROM Usuario WHERE NomeUsuario = '"&amp;SUBSTITUTE($B158,"'","''")&amp;"')"&amp;", "&amp;"'"&amp;SUBSTITUTE($C158,"'","''")&amp;"'"&amp;", "&amp;IF($D158="","SYSDATETIME()","'"&amp;SUBSTITUTE($D158,"'","''")&amp;"'")&amp;", "&amp;IF($E158="","'Pendente'","'"&amp;SUBSTITUTE($E158,"'","''")&amp;"'")&amp;", "&amp;IF($F158="","NULL","(SELECT ID_Usuario FROM Usuario WHERE NomeUsuario = '"&amp;SUBSTITUTE($F158,"'","''")&amp;"')")&amp;", "&amp;IF($G158="","NULL","'"&amp;SUBSTITUTE($G158,"'","''")&amp;"'")&amp;" WHERE NOT EXISTS (SELECT 1 FROM Comentarios c JOIN Posts p ON p.ID_Post = c.ID_Post JOIN Usuario u ON u.ID_Usuario = c.ID_Autor WHERE p.URL_Post = "&amp;"'"&amp;SUBSTITUTE($A158,"'","''")&amp;"'"&amp;" AND u.NomeUsuario = "&amp;"'"&amp;SUBSTITUTE($B158,"'","''")&amp;"'"&amp;" AND c.Texto = "&amp;"'"&amp;SUBSTITUTE($C158,"'","''")&amp;"'"&amp;");")</f>
        <v/>
      </c>
    </row>
    <row r="159" customFormat="false" ht="15" hidden="false" customHeight="false" outlineLevel="0" collapsed="false">
      <c r="A159" s="26"/>
      <c r="B159" s="26"/>
      <c r="C159" s="26"/>
      <c r="D159" s="28"/>
      <c r="E159" s="26"/>
      <c r="F159" s="26"/>
      <c r="G159" s="28"/>
      <c r="I159" s="25" t="str">
        <f aca="false">IF($A159="","","INSERT INTO Comentarios (ID_Post, ID_Autor, Texto, DataComentario, Status_Moderacao, ID_Moderador, DataModeracao) SELECT "&amp;"(SELECT ID_Post FROM Posts WHERE URL_Post = '"&amp;SUBSTITUTE($A159,"'","''")&amp;"')"&amp;", "&amp;"(SELECT ID_Usuario FROM Usuario WHERE NomeUsuario = '"&amp;SUBSTITUTE($B159,"'","''")&amp;"')"&amp;", "&amp;"'"&amp;SUBSTITUTE($C159,"'","''")&amp;"'"&amp;", "&amp;IF($D159="","SYSDATETIME()","'"&amp;SUBSTITUTE($D159,"'","''")&amp;"'")&amp;", "&amp;IF($E159="","'Pendente'","'"&amp;SUBSTITUTE($E159,"'","''")&amp;"'")&amp;", "&amp;IF($F159="","NULL","(SELECT ID_Usuario FROM Usuario WHERE NomeUsuario = '"&amp;SUBSTITUTE($F159,"'","''")&amp;"')")&amp;", "&amp;IF($G159="","NULL","'"&amp;SUBSTITUTE($G159,"'","''")&amp;"'")&amp;" WHERE NOT EXISTS (SELECT 1 FROM Comentarios c JOIN Posts p ON p.ID_Post = c.ID_Post JOIN Usuario u ON u.ID_Usuario = c.ID_Autor WHERE p.URL_Post = "&amp;"'"&amp;SUBSTITUTE($A159,"'","''")&amp;"'"&amp;" AND u.NomeUsuario = "&amp;"'"&amp;SUBSTITUTE($B159,"'","''")&amp;"'"&amp;" AND c.Texto = "&amp;"'"&amp;SUBSTITUTE($C159,"'","''")&amp;"'"&amp;");")</f>
        <v/>
      </c>
    </row>
    <row r="160" customFormat="false" ht="15" hidden="false" customHeight="false" outlineLevel="0" collapsed="false">
      <c r="A160" s="26"/>
      <c r="B160" s="26"/>
      <c r="C160" s="26"/>
      <c r="D160" s="28"/>
      <c r="E160" s="26"/>
      <c r="F160" s="26"/>
      <c r="G160" s="28"/>
      <c r="I160" s="25" t="str">
        <f aca="false">IF($A160="","","INSERT INTO Comentarios (ID_Post, ID_Autor, Texto, DataComentario, Status_Moderacao, ID_Moderador, DataModeracao) SELECT "&amp;"(SELECT ID_Post FROM Posts WHERE URL_Post = '"&amp;SUBSTITUTE($A160,"'","''")&amp;"')"&amp;", "&amp;"(SELECT ID_Usuario FROM Usuario WHERE NomeUsuario = '"&amp;SUBSTITUTE($B160,"'","''")&amp;"')"&amp;", "&amp;"'"&amp;SUBSTITUTE($C160,"'","''")&amp;"'"&amp;", "&amp;IF($D160="","SYSDATETIME()","'"&amp;SUBSTITUTE($D160,"'","''")&amp;"'")&amp;", "&amp;IF($E160="","'Pendente'","'"&amp;SUBSTITUTE($E160,"'","''")&amp;"'")&amp;", "&amp;IF($F160="","NULL","(SELECT ID_Usuario FROM Usuario WHERE NomeUsuario = '"&amp;SUBSTITUTE($F160,"'","''")&amp;"')")&amp;", "&amp;IF($G160="","NULL","'"&amp;SUBSTITUTE($G160,"'","''")&amp;"'")&amp;" WHERE NOT EXISTS (SELECT 1 FROM Comentarios c JOIN Posts p ON p.ID_Post = c.ID_Post JOIN Usuario u ON u.ID_Usuario = c.ID_Autor WHERE p.URL_Post = "&amp;"'"&amp;SUBSTITUTE($A160,"'","''")&amp;"'"&amp;" AND u.NomeUsuario = "&amp;"'"&amp;SUBSTITUTE($B160,"'","''")&amp;"'"&amp;" AND c.Texto = "&amp;"'"&amp;SUBSTITUTE($C160,"'","''")&amp;"'"&amp;");")</f>
        <v/>
      </c>
    </row>
    <row r="161" customFormat="false" ht="15" hidden="false" customHeight="false" outlineLevel="0" collapsed="false">
      <c r="A161" s="26"/>
      <c r="B161" s="26"/>
      <c r="C161" s="26"/>
      <c r="D161" s="28"/>
      <c r="E161" s="26"/>
      <c r="F161" s="26"/>
      <c r="G161" s="28"/>
      <c r="I161" s="25" t="str">
        <f aca="false">IF($A161="","","INSERT INTO Comentarios (ID_Post, ID_Autor, Texto, DataComentario, Status_Moderacao, ID_Moderador, DataModeracao) SELECT "&amp;"(SELECT ID_Post FROM Posts WHERE URL_Post = '"&amp;SUBSTITUTE($A161,"'","''")&amp;"')"&amp;", "&amp;"(SELECT ID_Usuario FROM Usuario WHERE NomeUsuario = '"&amp;SUBSTITUTE($B161,"'","''")&amp;"')"&amp;", "&amp;"'"&amp;SUBSTITUTE($C161,"'","''")&amp;"'"&amp;", "&amp;IF($D161="","SYSDATETIME()","'"&amp;SUBSTITUTE($D161,"'","''")&amp;"'")&amp;", "&amp;IF($E161="","'Pendente'","'"&amp;SUBSTITUTE($E161,"'","''")&amp;"'")&amp;", "&amp;IF($F161="","NULL","(SELECT ID_Usuario FROM Usuario WHERE NomeUsuario = '"&amp;SUBSTITUTE($F161,"'","''")&amp;"')")&amp;", "&amp;IF($G161="","NULL","'"&amp;SUBSTITUTE($G161,"'","''")&amp;"'")&amp;" WHERE NOT EXISTS (SELECT 1 FROM Comentarios c JOIN Posts p ON p.ID_Post = c.ID_Post JOIN Usuario u ON u.ID_Usuario = c.ID_Autor WHERE p.URL_Post = "&amp;"'"&amp;SUBSTITUTE($A161,"'","''")&amp;"'"&amp;" AND u.NomeUsuario = "&amp;"'"&amp;SUBSTITUTE($B161,"'","''")&amp;"'"&amp;" AND c.Texto = "&amp;"'"&amp;SUBSTITUTE($C161,"'","''")&amp;"'"&amp;");")</f>
        <v/>
      </c>
    </row>
    <row r="162" customFormat="false" ht="15" hidden="false" customHeight="false" outlineLevel="0" collapsed="false">
      <c r="A162" s="26"/>
      <c r="B162" s="26"/>
      <c r="C162" s="26"/>
      <c r="D162" s="28"/>
      <c r="E162" s="26"/>
      <c r="F162" s="26"/>
      <c r="G162" s="28"/>
      <c r="I162" s="25" t="str">
        <f aca="false">IF($A162="","","INSERT INTO Comentarios (ID_Post, ID_Autor, Texto, DataComentario, Status_Moderacao, ID_Moderador, DataModeracao) SELECT "&amp;"(SELECT ID_Post FROM Posts WHERE URL_Post = '"&amp;SUBSTITUTE($A162,"'","''")&amp;"')"&amp;", "&amp;"(SELECT ID_Usuario FROM Usuario WHERE NomeUsuario = '"&amp;SUBSTITUTE($B162,"'","''")&amp;"')"&amp;", "&amp;"'"&amp;SUBSTITUTE($C162,"'","''")&amp;"'"&amp;", "&amp;IF($D162="","SYSDATETIME()","'"&amp;SUBSTITUTE($D162,"'","''")&amp;"'")&amp;", "&amp;IF($E162="","'Pendente'","'"&amp;SUBSTITUTE($E162,"'","''")&amp;"'")&amp;", "&amp;IF($F162="","NULL","(SELECT ID_Usuario FROM Usuario WHERE NomeUsuario = '"&amp;SUBSTITUTE($F162,"'","''")&amp;"')")&amp;", "&amp;IF($G162="","NULL","'"&amp;SUBSTITUTE($G162,"'","''")&amp;"'")&amp;" WHERE NOT EXISTS (SELECT 1 FROM Comentarios c JOIN Posts p ON p.ID_Post = c.ID_Post JOIN Usuario u ON u.ID_Usuario = c.ID_Autor WHERE p.URL_Post = "&amp;"'"&amp;SUBSTITUTE($A162,"'","''")&amp;"'"&amp;" AND u.NomeUsuario = "&amp;"'"&amp;SUBSTITUTE($B162,"'","''")&amp;"'"&amp;" AND c.Texto = "&amp;"'"&amp;SUBSTITUTE($C162,"'","''")&amp;"'"&amp;");")</f>
        <v/>
      </c>
    </row>
    <row r="163" customFormat="false" ht="15" hidden="false" customHeight="false" outlineLevel="0" collapsed="false">
      <c r="A163" s="26"/>
      <c r="B163" s="26"/>
      <c r="C163" s="26"/>
      <c r="D163" s="28"/>
      <c r="E163" s="26"/>
      <c r="F163" s="26"/>
      <c r="G163" s="28"/>
      <c r="I163" s="25" t="str">
        <f aca="false">IF($A163="","","INSERT INTO Comentarios (ID_Post, ID_Autor, Texto, DataComentario, Status_Moderacao, ID_Moderador, DataModeracao) SELECT "&amp;"(SELECT ID_Post FROM Posts WHERE URL_Post = '"&amp;SUBSTITUTE($A163,"'","''")&amp;"')"&amp;", "&amp;"(SELECT ID_Usuario FROM Usuario WHERE NomeUsuario = '"&amp;SUBSTITUTE($B163,"'","''")&amp;"')"&amp;", "&amp;"'"&amp;SUBSTITUTE($C163,"'","''")&amp;"'"&amp;", "&amp;IF($D163="","SYSDATETIME()","'"&amp;SUBSTITUTE($D163,"'","''")&amp;"'")&amp;", "&amp;IF($E163="","'Pendente'","'"&amp;SUBSTITUTE($E163,"'","''")&amp;"'")&amp;", "&amp;IF($F163="","NULL","(SELECT ID_Usuario FROM Usuario WHERE NomeUsuario = '"&amp;SUBSTITUTE($F163,"'","''")&amp;"')")&amp;", "&amp;IF($G163="","NULL","'"&amp;SUBSTITUTE($G163,"'","''")&amp;"'")&amp;" WHERE NOT EXISTS (SELECT 1 FROM Comentarios c JOIN Posts p ON p.ID_Post = c.ID_Post JOIN Usuario u ON u.ID_Usuario = c.ID_Autor WHERE p.URL_Post = "&amp;"'"&amp;SUBSTITUTE($A163,"'","''")&amp;"'"&amp;" AND u.NomeUsuario = "&amp;"'"&amp;SUBSTITUTE($B163,"'","''")&amp;"'"&amp;" AND c.Texto = "&amp;"'"&amp;SUBSTITUTE($C163,"'","''")&amp;"'"&amp;");")</f>
        <v/>
      </c>
    </row>
    <row r="164" customFormat="false" ht="15" hidden="false" customHeight="false" outlineLevel="0" collapsed="false">
      <c r="A164" s="26"/>
      <c r="B164" s="26"/>
      <c r="C164" s="26"/>
      <c r="D164" s="28"/>
      <c r="E164" s="26"/>
      <c r="F164" s="26"/>
      <c r="G164" s="28"/>
      <c r="I164" s="25" t="str">
        <f aca="false">IF($A164="","","INSERT INTO Comentarios (ID_Post, ID_Autor, Texto, DataComentario, Status_Moderacao, ID_Moderador, DataModeracao) SELECT "&amp;"(SELECT ID_Post FROM Posts WHERE URL_Post = '"&amp;SUBSTITUTE($A164,"'","''")&amp;"')"&amp;", "&amp;"(SELECT ID_Usuario FROM Usuario WHERE NomeUsuario = '"&amp;SUBSTITUTE($B164,"'","''")&amp;"')"&amp;", "&amp;"'"&amp;SUBSTITUTE($C164,"'","''")&amp;"'"&amp;", "&amp;IF($D164="","SYSDATETIME()","'"&amp;SUBSTITUTE($D164,"'","''")&amp;"'")&amp;", "&amp;IF($E164="","'Pendente'","'"&amp;SUBSTITUTE($E164,"'","''")&amp;"'")&amp;", "&amp;IF($F164="","NULL","(SELECT ID_Usuario FROM Usuario WHERE NomeUsuario = '"&amp;SUBSTITUTE($F164,"'","''")&amp;"')")&amp;", "&amp;IF($G164="","NULL","'"&amp;SUBSTITUTE($G164,"'","''")&amp;"'")&amp;" WHERE NOT EXISTS (SELECT 1 FROM Comentarios c JOIN Posts p ON p.ID_Post = c.ID_Post JOIN Usuario u ON u.ID_Usuario = c.ID_Autor WHERE p.URL_Post = "&amp;"'"&amp;SUBSTITUTE($A164,"'","''")&amp;"'"&amp;" AND u.NomeUsuario = "&amp;"'"&amp;SUBSTITUTE($B164,"'","''")&amp;"'"&amp;" AND c.Texto = "&amp;"'"&amp;SUBSTITUTE($C164,"'","''")&amp;"'"&amp;");")</f>
        <v/>
      </c>
    </row>
    <row r="165" customFormat="false" ht="15" hidden="false" customHeight="false" outlineLevel="0" collapsed="false">
      <c r="A165" s="26"/>
      <c r="B165" s="26"/>
      <c r="C165" s="26"/>
      <c r="D165" s="28"/>
      <c r="E165" s="26"/>
      <c r="F165" s="26"/>
      <c r="G165" s="28"/>
      <c r="I165" s="25" t="str">
        <f aca="false">IF($A165="","","INSERT INTO Comentarios (ID_Post, ID_Autor, Texto, DataComentario, Status_Moderacao, ID_Moderador, DataModeracao) SELECT "&amp;"(SELECT ID_Post FROM Posts WHERE URL_Post = '"&amp;SUBSTITUTE($A165,"'","''")&amp;"')"&amp;", "&amp;"(SELECT ID_Usuario FROM Usuario WHERE NomeUsuario = '"&amp;SUBSTITUTE($B165,"'","''")&amp;"')"&amp;", "&amp;"'"&amp;SUBSTITUTE($C165,"'","''")&amp;"'"&amp;", "&amp;IF($D165="","SYSDATETIME()","'"&amp;SUBSTITUTE($D165,"'","''")&amp;"'")&amp;", "&amp;IF($E165="","'Pendente'","'"&amp;SUBSTITUTE($E165,"'","''")&amp;"'")&amp;", "&amp;IF($F165="","NULL","(SELECT ID_Usuario FROM Usuario WHERE NomeUsuario = '"&amp;SUBSTITUTE($F165,"'","''")&amp;"')")&amp;", "&amp;IF($G165="","NULL","'"&amp;SUBSTITUTE($G165,"'","''")&amp;"'")&amp;" WHERE NOT EXISTS (SELECT 1 FROM Comentarios c JOIN Posts p ON p.ID_Post = c.ID_Post JOIN Usuario u ON u.ID_Usuario = c.ID_Autor WHERE p.URL_Post = "&amp;"'"&amp;SUBSTITUTE($A165,"'","''")&amp;"'"&amp;" AND u.NomeUsuario = "&amp;"'"&amp;SUBSTITUTE($B165,"'","''")&amp;"'"&amp;" AND c.Texto = "&amp;"'"&amp;SUBSTITUTE($C165,"'","''")&amp;"'"&amp;");")</f>
        <v/>
      </c>
    </row>
    <row r="166" customFormat="false" ht="15" hidden="false" customHeight="false" outlineLevel="0" collapsed="false">
      <c r="A166" s="26"/>
      <c r="B166" s="26"/>
      <c r="C166" s="26"/>
      <c r="D166" s="28"/>
      <c r="E166" s="26"/>
      <c r="F166" s="26"/>
      <c r="G166" s="28"/>
      <c r="I166" s="25" t="str">
        <f aca="false">IF($A166="","","INSERT INTO Comentarios (ID_Post, ID_Autor, Texto, DataComentario, Status_Moderacao, ID_Moderador, DataModeracao) SELECT "&amp;"(SELECT ID_Post FROM Posts WHERE URL_Post = '"&amp;SUBSTITUTE($A166,"'","''")&amp;"')"&amp;", "&amp;"(SELECT ID_Usuario FROM Usuario WHERE NomeUsuario = '"&amp;SUBSTITUTE($B166,"'","''")&amp;"')"&amp;", "&amp;"'"&amp;SUBSTITUTE($C166,"'","''")&amp;"'"&amp;", "&amp;IF($D166="","SYSDATETIME()","'"&amp;SUBSTITUTE($D166,"'","''")&amp;"'")&amp;", "&amp;IF($E166="","'Pendente'","'"&amp;SUBSTITUTE($E166,"'","''")&amp;"'")&amp;", "&amp;IF($F166="","NULL","(SELECT ID_Usuario FROM Usuario WHERE NomeUsuario = '"&amp;SUBSTITUTE($F166,"'","''")&amp;"')")&amp;", "&amp;IF($G166="","NULL","'"&amp;SUBSTITUTE($G166,"'","''")&amp;"'")&amp;" WHERE NOT EXISTS (SELECT 1 FROM Comentarios c JOIN Posts p ON p.ID_Post = c.ID_Post JOIN Usuario u ON u.ID_Usuario = c.ID_Autor WHERE p.URL_Post = "&amp;"'"&amp;SUBSTITUTE($A166,"'","''")&amp;"'"&amp;" AND u.NomeUsuario = "&amp;"'"&amp;SUBSTITUTE($B166,"'","''")&amp;"'"&amp;" AND c.Texto = "&amp;"'"&amp;SUBSTITUTE($C166,"'","''")&amp;"'"&amp;");")</f>
        <v/>
      </c>
    </row>
    <row r="167" customFormat="false" ht="15" hidden="false" customHeight="false" outlineLevel="0" collapsed="false">
      <c r="A167" s="26"/>
      <c r="B167" s="26"/>
      <c r="C167" s="26"/>
      <c r="D167" s="28"/>
      <c r="E167" s="26"/>
      <c r="F167" s="26"/>
      <c r="G167" s="28"/>
      <c r="I167" s="25" t="str">
        <f aca="false">IF($A167="","","INSERT INTO Comentarios (ID_Post, ID_Autor, Texto, DataComentario, Status_Moderacao, ID_Moderador, DataModeracao) SELECT "&amp;"(SELECT ID_Post FROM Posts WHERE URL_Post = '"&amp;SUBSTITUTE($A167,"'","''")&amp;"')"&amp;", "&amp;"(SELECT ID_Usuario FROM Usuario WHERE NomeUsuario = '"&amp;SUBSTITUTE($B167,"'","''")&amp;"')"&amp;", "&amp;"'"&amp;SUBSTITUTE($C167,"'","''")&amp;"'"&amp;", "&amp;IF($D167="","SYSDATETIME()","'"&amp;SUBSTITUTE($D167,"'","''")&amp;"'")&amp;", "&amp;IF($E167="","'Pendente'","'"&amp;SUBSTITUTE($E167,"'","''")&amp;"'")&amp;", "&amp;IF($F167="","NULL","(SELECT ID_Usuario FROM Usuario WHERE NomeUsuario = '"&amp;SUBSTITUTE($F167,"'","''")&amp;"')")&amp;", "&amp;IF($G167="","NULL","'"&amp;SUBSTITUTE($G167,"'","''")&amp;"'")&amp;" WHERE NOT EXISTS (SELECT 1 FROM Comentarios c JOIN Posts p ON p.ID_Post = c.ID_Post JOIN Usuario u ON u.ID_Usuario = c.ID_Autor WHERE p.URL_Post = "&amp;"'"&amp;SUBSTITUTE($A167,"'","''")&amp;"'"&amp;" AND u.NomeUsuario = "&amp;"'"&amp;SUBSTITUTE($B167,"'","''")&amp;"'"&amp;" AND c.Texto = "&amp;"'"&amp;SUBSTITUTE($C167,"'","''")&amp;"'"&amp;");")</f>
        <v/>
      </c>
    </row>
    <row r="168" customFormat="false" ht="15" hidden="false" customHeight="false" outlineLevel="0" collapsed="false">
      <c r="A168" s="26"/>
      <c r="B168" s="26"/>
      <c r="C168" s="26"/>
      <c r="D168" s="28"/>
      <c r="E168" s="26"/>
      <c r="F168" s="26"/>
      <c r="G168" s="28"/>
      <c r="I168" s="25" t="str">
        <f aca="false">IF($A168="","","INSERT INTO Comentarios (ID_Post, ID_Autor, Texto, DataComentario, Status_Moderacao, ID_Moderador, DataModeracao) SELECT "&amp;"(SELECT ID_Post FROM Posts WHERE URL_Post = '"&amp;SUBSTITUTE($A168,"'","''")&amp;"')"&amp;", "&amp;"(SELECT ID_Usuario FROM Usuario WHERE NomeUsuario = '"&amp;SUBSTITUTE($B168,"'","''")&amp;"')"&amp;", "&amp;"'"&amp;SUBSTITUTE($C168,"'","''")&amp;"'"&amp;", "&amp;IF($D168="","SYSDATETIME()","'"&amp;SUBSTITUTE($D168,"'","''")&amp;"'")&amp;", "&amp;IF($E168="","'Pendente'","'"&amp;SUBSTITUTE($E168,"'","''")&amp;"'")&amp;", "&amp;IF($F168="","NULL","(SELECT ID_Usuario FROM Usuario WHERE NomeUsuario = '"&amp;SUBSTITUTE($F168,"'","''")&amp;"')")&amp;", "&amp;IF($G168="","NULL","'"&amp;SUBSTITUTE($G168,"'","''")&amp;"'")&amp;" WHERE NOT EXISTS (SELECT 1 FROM Comentarios c JOIN Posts p ON p.ID_Post = c.ID_Post JOIN Usuario u ON u.ID_Usuario = c.ID_Autor WHERE p.URL_Post = "&amp;"'"&amp;SUBSTITUTE($A168,"'","''")&amp;"'"&amp;" AND u.NomeUsuario = "&amp;"'"&amp;SUBSTITUTE($B168,"'","''")&amp;"'"&amp;" AND c.Texto = "&amp;"'"&amp;SUBSTITUTE($C168,"'","''")&amp;"'"&amp;");")</f>
        <v/>
      </c>
    </row>
    <row r="169" customFormat="false" ht="15" hidden="false" customHeight="false" outlineLevel="0" collapsed="false">
      <c r="A169" s="26"/>
      <c r="B169" s="26"/>
      <c r="C169" s="26"/>
      <c r="D169" s="28"/>
      <c r="E169" s="26"/>
      <c r="F169" s="26"/>
      <c r="G169" s="28"/>
      <c r="I169" s="25" t="str">
        <f aca="false">IF($A169="","","INSERT INTO Comentarios (ID_Post, ID_Autor, Texto, DataComentario, Status_Moderacao, ID_Moderador, DataModeracao) SELECT "&amp;"(SELECT ID_Post FROM Posts WHERE URL_Post = '"&amp;SUBSTITUTE($A169,"'","''")&amp;"')"&amp;", "&amp;"(SELECT ID_Usuario FROM Usuario WHERE NomeUsuario = '"&amp;SUBSTITUTE($B169,"'","''")&amp;"')"&amp;", "&amp;"'"&amp;SUBSTITUTE($C169,"'","''")&amp;"'"&amp;", "&amp;IF($D169="","SYSDATETIME()","'"&amp;SUBSTITUTE($D169,"'","''")&amp;"'")&amp;", "&amp;IF($E169="","'Pendente'","'"&amp;SUBSTITUTE($E169,"'","''")&amp;"'")&amp;", "&amp;IF($F169="","NULL","(SELECT ID_Usuario FROM Usuario WHERE NomeUsuario = '"&amp;SUBSTITUTE($F169,"'","''")&amp;"')")&amp;", "&amp;IF($G169="","NULL","'"&amp;SUBSTITUTE($G169,"'","''")&amp;"'")&amp;" WHERE NOT EXISTS (SELECT 1 FROM Comentarios c JOIN Posts p ON p.ID_Post = c.ID_Post JOIN Usuario u ON u.ID_Usuario = c.ID_Autor WHERE p.URL_Post = "&amp;"'"&amp;SUBSTITUTE($A169,"'","''")&amp;"'"&amp;" AND u.NomeUsuario = "&amp;"'"&amp;SUBSTITUTE($B169,"'","''")&amp;"'"&amp;" AND c.Texto = "&amp;"'"&amp;SUBSTITUTE($C169,"'","''")&amp;"'"&amp;");")</f>
        <v/>
      </c>
    </row>
    <row r="170" customFormat="false" ht="15" hidden="false" customHeight="false" outlineLevel="0" collapsed="false">
      <c r="A170" s="26"/>
      <c r="B170" s="26"/>
      <c r="C170" s="26"/>
      <c r="D170" s="28"/>
      <c r="E170" s="26"/>
      <c r="F170" s="26"/>
      <c r="G170" s="28"/>
      <c r="I170" s="25" t="str">
        <f aca="false">IF($A170="","","INSERT INTO Comentarios (ID_Post, ID_Autor, Texto, DataComentario, Status_Moderacao, ID_Moderador, DataModeracao) SELECT "&amp;"(SELECT ID_Post FROM Posts WHERE URL_Post = '"&amp;SUBSTITUTE($A170,"'","''")&amp;"')"&amp;", "&amp;"(SELECT ID_Usuario FROM Usuario WHERE NomeUsuario = '"&amp;SUBSTITUTE($B170,"'","''")&amp;"')"&amp;", "&amp;"'"&amp;SUBSTITUTE($C170,"'","''")&amp;"'"&amp;", "&amp;IF($D170="","SYSDATETIME()","'"&amp;SUBSTITUTE($D170,"'","''")&amp;"'")&amp;", "&amp;IF($E170="","'Pendente'","'"&amp;SUBSTITUTE($E170,"'","''")&amp;"'")&amp;", "&amp;IF($F170="","NULL","(SELECT ID_Usuario FROM Usuario WHERE NomeUsuario = '"&amp;SUBSTITUTE($F170,"'","''")&amp;"')")&amp;", "&amp;IF($G170="","NULL","'"&amp;SUBSTITUTE($G170,"'","''")&amp;"'")&amp;" WHERE NOT EXISTS (SELECT 1 FROM Comentarios c JOIN Posts p ON p.ID_Post = c.ID_Post JOIN Usuario u ON u.ID_Usuario = c.ID_Autor WHERE p.URL_Post = "&amp;"'"&amp;SUBSTITUTE($A170,"'","''")&amp;"'"&amp;" AND u.NomeUsuario = "&amp;"'"&amp;SUBSTITUTE($B170,"'","''")&amp;"'"&amp;" AND c.Texto = "&amp;"'"&amp;SUBSTITUTE($C170,"'","''")&amp;"'"&amp;");")</f>
        <v/>
      </c>
    </row>
    <row r="171" customFormat="false" ht="15" hidden="false" customHeight="false" outlineLevel="0" collapsed="false">
      <c r="A171" s="26"/>
      <c r="B171" s="26"/>
      <c r="C171" s="26"/>
      <c r="D171" s="28"/>
      <c r="E171" s="26"/>
      <c r="F171" s="26"/>
      <c r="G171" s="28"/>
      <c r="I171" s="25" t="str">
        <f aca="false">IF($A171="","","INSERT INTO Comentarios (ID_Post, ID_Autor, Texto, DataComentario, Status_Moderacao, ID_Moderador, DataModeracao) SELECT "&amp;"(SELECT ID_Post FROM Posts WHERE URL_Post = '"&amp;SUBSTITUTE($A171,"'","''")&amp;"')"&amp;", "&amp;"(SELECT ID_Usuario FROM Usuario WHERE NomeUsuario = '"&amp;SUBSTITUTE($B171,"'","''")&amp;"')"&amp;", "&amp;"'"&amp;SUBSTITUTE($C171,"'","''")&amp;"'"&amp;", "&amp;IF($D171="","SYSDATETIME()","'"&amp;SUBSTITUTE($D171,"'","''")&amp;"'")&amp;", "&amp;IF($E171="","'Pendente'","'"&amp;SUBSTITUTE($E171,"'","''")&amp;"'")&amp;", "&amp;IF($F171="","NULL","(SELECT ID_Usuario FROM Usuario WHERE NomeUsuario = '"&amp;SUBSTITUTE($F171,"'","''")&amp;"')")&amp;", "&amp;IF($G171="","NULL","'"&amp;SUBSTITUTE($G171,"'","''")&amp;"'")&amp;" WHERE NOT EXISTS (SELECT 1 FROM Comentarios c JOIN Posts p ON p.ID_Post = c.ID_Post JOIN Usuario u ON u.ID_Usuario = c.ID_Autor WHERE p.URL_Post = "&amp;"'"&amp;SUBSTITUTE($A171,"'","''")&amp;"'"&amp;" AND u.NomeUsuario = "&amp;"'"&amp;SUBSTITUTE($B171,"'","''")&amp;"'"&amp;" AND c.Texto = "&amp;"'"&amp;SUBSTITUTE($C171,"'","''")&amp;"'"&amp;");")</f>
        <v/>
      </c>
    </row>
    <row r="172" customFormat="false" ht="15" hidden="false" customHeight="false" outlineLevel="0" collapsed="false">
      <c r="A172" s="26"/>
      <c r="B172" s="26"/>
      <c r="C172" s="26"/>
      <c r="D172" s="28"/>
      <c r="E172" s="26"/>
      <c r="F172" s="26"/>
      <c r="G172" s="28"/>
      <c r="I172" s="25" t="str">
        <f aca="false">IF($A172="","","INSERT INTO Comentarios (ID_Post, ID_Autor, Texto, DataComentario, Status_Moderacao, ID_Moderador, DataModeracao) SELECT "&amp;"(SELECT ID_Post FROM Posts WHERE URL_Post = '"&amp;SUBSTITUTE($A172,"'","''")&amp;"')"&amp;", "&amp;"(SELECT ID_Usuario FROM Usuario WHERE NomeUsuario = '"&amp;SUBSTITUTE($B172,"'","''")&amp;"')"&amp;", "&amp;"'"&amp;SUBSTITUTE($C172,"'","''")&amp;"'"&amp;", "&amp;IF($D172="","SYSDATETIME()","'"&amp;SUBSTITUTE($D172,"'","''")&amp;"'")&amp;", "&amp;IF($E172="","'Pendente'","'"&amp;SUBSTITUTE($E172,"'","''")&amp;"'")&amp;", "&amp;IF($F172="","NULL","(SELECT ID_Usuario FROM Usuario WHERE NomeUsuario = '"&amp;SUBSTITUTE($F172,"'","''")&amp;"')")&amp;", "&amp;IF($G172="","NULL","'"&amp;SUBSTITUTE($G172,"'","''")&amp;"'")&amp;" WHERE NOT EXISTS (SELECT 1 FROM Comentarios c JOIN Posts p ON p.ID_Post = c.ID_Post JOIN Usuario u ON u.ID_Usuario = c.ID_Autor WHERE p.URL_Post = "&amp;"'"&amp;SUBSTITUTE($A172,"'","''")&amp;"'"&amp;" AND u.NomeUsuario = "&amp;"'"&amp;SUBSTITUTE($B172,"'","''")&amp;"'"&amp;" AND c.Texto = "&amp;"'"&amp;SUBSTITUTE($C172,"'","''")&amp;"'"&amp;");")</f>
        <v/>
      </c>
    </row>
    <row r="173" customFormat="false" ht="15" hidden="false" customHeight="false" outlineLevel="0" collapsed="false">
      <c r="A173" s="26"/>
      <c r="B173" s="26"/>
      <c r="C173" s="26"/>
      <c r="D173" s="28"/>
      <c r="E173" s="26"/>
      <c r="F173" s="26"/>
      <c r="G173" s="28"/>
      <c r="I173" s="25" t="str">
        <f aca="false">IF($A173="","","INSERT INTO Comentarios (ID_Post, ID_Autor, Texto, DataComentario, Status_Moderacao, ID_Moderador, DataModeracao) SELECT "&amp;"(SELECT ID_Post FROM Posts WHERE URL_Post = '"&amp;SUBSTITUTE($A173,"'","''")&amp;"')"&amp;", "&amp;"(SELECT ID_Usuario FROM Usuario WHERE NomeUsuario = '"&amp;SUBSTITUTE($B173,"'","''")&amp;"')"&amp;", "&amp;"'"&amp;SUBSTITUTE($C173,"'","''")&amp;"'"&amp;", "&amp;IF($D173="","SYSDATETIME()","'"&amp;SUBSTITUTE($D173,"'","''")&amp;"'")&amp;", "&amp;IF($E173="","'Pendente'","'"&amp;SUBSTITUTE($E173,"'","''")&amp;"'")&amp;", "&amp;IF($F173="","NULL","(SELECT ID_Usuario FROM Usuario WHERE NomeUsuario = '"&amp;SUBSTITUTE($F173,"'","''")&amp;"')")&amp;", "&amp;IF($G173="","NULL","'"&amp;SUBSTITUTE($G173,"'","''")&amp;"'")&amp;" WHERE NOT EXISTS (SELECT 1 FROM Comentarios c JOIN Posts p ON p.ID_Post = c.ID_Post JOIN Usuario u ON u.ID_Usuario = c.ID_Autor WHERE p.URL_Post = "&amp;"'"&amp;SUBSTITUTE($A173,"'","''")&amp;"'"&amp;" AND u.NomeUsuario = "&amp;"'"&amp;SUBSTITUTE($B173,"'","''")&amp;"'"&amp;" AND c.Texto = "&amp;"'"&amp;SUBSTITUTE($C173,"'","''")&amp;"'"&amp;");")</f>
        <v/>
      </c>
    </row>
    <row r="174" customFormat="false" ht="15" hidden="false" customHeight="false" outlineLevel="0" collapsed="false">
      <c r="A174" s="26"/>
      <c r="B174" s="26"/>
      <c r="C174" s="26"/>
      <c r="D174" s="28"/>
      <c r="E174" s="26"/>
      <c r="F174" s="26"/>
      <c r="G174" s="28"/>
      <c r="I174" s="25" t="str">
        <f aca="false">IF($A174="","","INSERT INTO Comentarios (ID_Post, ID_Autor, Texto, DataComentario, Status_Moderacao, ID_Moderador, DataModeracao) SELECT "&amp;"(SELECT ID_Post FROM Posts WHERE URL_Post = '"&amp;SUBSTITUTE($A174,"'","''")&amp;"')"&amp;", "&amp;"(SELECT ID_Usuario FROM Usuario WHERE NomeUsuario = '"&amp;SUBSTITUTE($B174,"'","''")&amp;"')"&amp;", "&amp;"'"&amp;SUBSTITUTE($C174,"'","''")&amp;"'"&amp;", "&amp;IF($D174="","SYSDATETIME()","'"&amp;SUBSTITUTE($D174,"'","''")&amp;"'")&amp;", "&amp;IF($E174="","'Pendente'","'"&amp;SUBSTITUTE($E174,"'","''")&amp;"'")&amp;", "&amp;IF($F174="","NULL","(SELECT ID_Usuario FROM Usuario WHERE NomeUsuario = '"&amp;SUBSTITUTE($F174,"'","''")&amp;"')")&amp;", "&amp;IF($G174="","NULL","'"&amp;SUBSTITUTE($G174,"'","''")&amp;"'")&amp;" WHERE NOT EXISTS (SELECT 1 FROM Comentarios c JOIN Posts p ON p.ID_Post = c.ID_Post JOIN Usuario u ON u.ID_Usuario = c.ID_Autor WHERE p.URL_Post = "&amp;"'"&amp;SUBSTITUTE($A174,"'","''")&amp;"'"&amp;" AND u.NomeUsuario = "&amp;"'"&amp;SUBSTITUTE($B174,"'","''")&amp;"'"&amp;" AND c.Texto = "&amp;"'"&amp;SUBSTITUTE($C174,"'","''")&amp;"'"&amp;");")</f>
        <v/>
      </c>
    </row>
    <row r="175" customFormat="false" ht="15" hidden="false" customHeight="false" outlineLevel="0" collapsed="false">
      <c r="A175" s="26"/>
      <c r="B175" s="26"/>
      <c r="C175" s="26"/>
      <c r="D175" s="28"/>
      <c r="E175" s="26"/>
      <c r="F175" s="26"/>
      <c r="G175" s="28"/>
      <c r="I175" s="25" t="str">
        <f aca="false">IF($A175="","","INSERT INTO Comentarios (ID_Post, ID_Autor, Texto, DataComentario, Status_Moderacao, ID_Moderador, DataModeracao) SELECT "&amp;"(SELECT ID_Post FROM Posts WHERE URL_Post = '"&amp;SUBSTITUTE($A175,"'","''")&amp;"')"&amp;", "&amp;"(SELECT ID_Usuario FROM Usuario WHERE NomeUsuario = '"&amp;SUBSTITUTE($B175,"'","''")&amp;"')"&amp;", "&amp;"'"&amp;SUBSTITUTE($C175,"'","''")&amp;"'"&amp;", "&amp;IF($D175="","SYSDATETIME()","'"&amp;SUBSTITUTE($D175,"'","''")&amp;"'")&amp;", "&amp;IF($E175="","'Pendente'","'"&amp;SUBSTITUTE($E175,"'","''")&amp;"'")&amp;", "&amp;IF($F175="","NULL","(SELECT ID_Usuario FROM Usuario WHERE NomeUsuario = '"&amp;SUBSTITUTE($F175,"'","''")&amp;"')")&amp;", "&amp;IF($G175="","NULL","'"&amp;SUBSTITUTE($G175,"'","''")&amp;"'")&amp;" WHERE NOT EXISTS (SELECT 1 FROM Comentarios c JOIN Posts p ON p.ID_Post = c.ID_Post JOIN Usuario u ON u.ID_Usuario = c.ID_Autor WHERE p.URL_Post = "&amp;"'"&amp;SUBSTITUTE($A175,"'","''")&amp;"'"&amp;" AND u.NomeUsuario = "&amp;"'"&amp;SUBSTITUTE($B175,"'","''")&amp;"'"&amp;" AND c.Texto = "&amp;"'"&amp;SUBSTITUTE($C175,"'","''")&amp;"'"&amp;");")</f>
        <v/>
      </c>
    </row>
    <row r="176" customFormat="false" ht="15" hidden="false" customHeight="false" outlineLevel="0" collapsed="false">
      <c r="A176" s="26"/>
      <c r="B176" s="26"/>
      <c r="C176" s="26"/>
      <c r="D176" s="28"/>
      <c r="E176" s="26"/>
      <c r="F176" s="26"/>
      <c r="G176" s="28"/>
      <c r="I176" s="25" t="str">
        <f aca="false">IF($A176="","","INSERT INTO Comentarios (ID_Post, ID_Autor, Texto, DataComentario, Status_Moderacao, ID_Moderador, DataModeracao) SELECT "&amp;"(SELECT ID_Post FROM Posts WHERE URL_Post = '"&amp;SUBSTITUTE($A176,"'","''")&amp;"')"&amp;", "&amp;"(SELECT ID_Usuario FROM Usuario WHERE NomeUsuario = '"&amp;SUBSTITUTE($B176,"'","''")&amp;"')"&amp;", "&amp;"'"&amp;SUBSTITUTE($C176,"'","''")&amp;"'"&amp;", "&amp;IF($D176="","SYSDATETIME()","'"&amp;SUBSTITUTE($D176,"'","''")&amp;"'")&amp;", "&amp;IF($E176="","'Pendente'","'"&amp;SUBSTITUTE($E176,"'","''")&amp;"'")&amp;", "&amp;IF($F176="","NULL","(SELECT ID_Usuario FROM Usuario WHERE NomeUsuario = '"&amp;SUBSTITUTE($F176,"'","''")&amp;"')")&amp;", "&amp;IF($G176="","NULL","'"&amp;SUBSTITUTE($G176,"'","''")&amp;"'")&amp;" WHERE NOT EXISTS (SELECT 1 FROM Comentarios c JOIN Posts p ON p.ID_Post = c.ID_Post JOIN Usuario u ON u.ID_Usuario = c.ID_Autor WHERE p.URL_Post = "&amp;"'"&amp;SUBSTITUTE($A176,"'","''")&amp;"'"&amp;" AND u.NomeUsuario = "&amp;"'"&amp;SUBSTITUTE($B176,"'","''")&amp;"'"&amp;" AND c.Texto = "&amp;"'"&amp;SUBSTITUTE($C176,"'","''")&amp;"'"&amp;");")</f>
        <v/>
      </c>
    </row>
    <row r="177" customFormat="false" ht="15" hidden="false" customHeight="false" outlineLevel="0" collapsed="false">
      <c r="A177" s="26"/>
      <c r="B177" s="26"/>
      <c r="C177" s="26"/>
      <c r="D177" s="28"/>
      <c r="E177" s="26"/>
      <c r="F177" s="26"/>
      <c r="G177" s="28"/>
      <c r="I177" s="25" t="str">
        <f aca="false">IF($A177="","","INSERT INTO Comentarios (ID_Post, ID_Autor, Texto, DataComentario, Status_Moderacao, ID_Moderador, DataModeracao) SELECT "&amp;"(SELECT ID_Post FROM Posts WHERE URL_Post = '"&amp;SUBSTITUTE($A177,"'","''")&amp;"')"&amp;", "&amp;"(SELECT ID_Usuario FROM Usuario WHERE NomeUsuario = '"&amp;SUBSTITUTE($B177,"'","''")&amp;"')"&amp;", "&amp;"'"&amp;SUBSTITUTE($C177,"'","''")&amp;"'"&amp;", "&amp;IF($D177="","SYSDATETIME()","'"&amp;SUBSTITUTE($D177,"'","''")&amp;"'")&amp;", "&amp;IF($E177="","'Pendente'","'"&amp;SUBSTITUTE($E177,"'","''")&amp;"'")&amp;", "&amp;IF($F177="","NULL","(SELECT ID_Usuario FROM Usuario WHERE NomeUsuario = '"&amp;SUBSTITUTE($F177,"'","''")&amp;"')")&amp;", "&amp;IF($G177="","NULL","'"&amp;SUBSTITUTE($G177,"'","''")&amp;"'")&amp;" WHERE NOT EXISTS (SELECT 1 FROM Comentarios c JOIN Posts p ON p.ID_Post = c.ID_Post JOIN Usuario u ON u.ID_Usuario = c.ID_Autor WHERE p.URL_Post = "&amp;"'"&amp;SUBSTITUTE($A177,"'","''")&amp;"'"&amp;" AND u.NomeUsuario = "&amp;"'"&amp;SUBSTITUTE($B177,"'","''")&amp;"'"&amp;" AND c.Texto = "&amp;"'"&amp;SUBSTITUTE($C177,"'","''")&amp;"'"&amp;");")</f>
        <v/>
      </c>
    </row>
    <row r="178" customFormat="false" ht="15" hidden="false" customHeight="false" outlineLevel="0" collapsed="false">
      <c r="A178" s="26"/>
      <c r="B178" s="26"/>
      <c r="C178" s="26"/>
      <c r="D178" s="28"/>
      <c r="E178" s="26"/>
      <c r="F178" s="26"/>
      <c r="G178" s="28"/>
      <c r="I178" s="25" t="str">
        <f aca="false">IF($A178="","","INSERT INTO Comentarios (ID_Post, ID_Autor, Texto, DataComentario, Status_Moderacao, ID_Moderador, DataModeracao) SELECT "&amp;"(SELECT ID_Post FROM Posts WHERE URL_Post = '"&amp;SUBSTITUTE($A178,"'","''")&amp;"')"&amp;", "&amp;"(SELECT ID_Usuario FROM Usuario WHERE NomeUsuario = '"&amp;SUBSTITUTE($B178,"'","''")&amp;"')"&amp;", "&amp;"'"&amp;SUBSTITUTE($C178,"'","''")&amp;"'"&amp;", "&amp;IF($D178="","SYSDATETIME()","'"&amp;SUBSTITUTE($D178,"'","''")&amp;"'")&amp;", "&amp;IF($E178="","'Pendente'","'"&amp;SUBSTITUTE($E178,"'","''")&amp;"'")&amp;", "&amp;IF($F178="","NULL","(SELECT ID_Usuario FROM Usuario WHERE NomeUsuario = '"&amp;SUBSTITUTE($F178,"'","''")&amp;"')")&amp;", "&amp;IF($G178="","NULL","'"&amp;SUBSTITUTE($G178,"'","''")&amp;"'")&amp;" WHERE NOT EXISTS (SELECT 1 FROM Comentarios c JOIN Posts p ON p.ID_Post = c.ID_Post JOIN Usuario u ON u.ID_Usuario = c.ID_Autor WHERE p.URL_Post = "&amp;"'"&amp;SUBSTITUTE($A178,"'","''")&amp;"'"&amp;" AND u.NomeUsuario = "&amp;"'"&amp;SUBSTITUTE($B178,"'","''")&amp;"'"&amp;" AND c.Texto = "&amp;"'"&amp;SUBSTITUTE($C178,"'","''")&amp;"'"&amp;");")</f>
        <v/>
      </c>
    </row>
    <row r="179" customFormat="false" ht="15" hidden="false" customHeight="false" outlineLevel="0" collapsed="false">
      <c r="A179" s="26"/>
      <c r="B179" s="26"/>
      <c r="C179" s="26"/>
      <c r="D179" s="28"/>
      <c r="E179" s="26"/>
      <c r="F179" s="26"/>
      <c r="G179" s="28"/>
      <c r="I179" s="25" t="str">
        <f aca="false">IF($A179="","","INSERT INTO Comentarios (ID_Post, ID_Autor, Texto, DataComentario, Status_Moderacao, ID_Moderador, DataModeracao) SELECT "&amp;"(SELECT ID_Post FROM Posts WHERE URL_Post = '"&amp;SUBSTITUTE($A179,"'","''")&amp;"')"&amp;", "&amp;"(SELECT ID_Usuario FROM Usuario WHERE NomeUsuario = '"&amp;SUBSTITUTE($B179,"'","''")&amp;"')"&amp;", "&amp;"'"&amp;SUBSTITUTE($C179,"'","''")&amp;"'"&amp;", "&amp;IF($D179="","SYSDATETIME()","'"&amp;SUBSTITUTE($D179,"'","''")&amp;"'")&amp;", "&amp;IF($E179="","'Pendente'","'"&amp;SUBSTITUTE($E179,"'","''")&amp;"'")&amp;", "&amp;IF($F179="","NULL","(SELECT ID_Usuario FROM Usuario WHERE NomeUsuario = '"&amp;SUBSTITUTE($F179,"'","''")&amp;"')")&amp;", "&amp;IF($G179="","NULL","'"&amp;SUBSTITUTE($G179,"'","''")&amp;"'")&amp;" WHERE NOT EXISTS (SELECT 1 FROM Comentarios c JOIN Posts p ON p.ID_Post = c.ID_Post JOIN Usuario u ON u.ID_Usuario = c.ID_Autor WHERE p.URL_Post = "&amp;"'"&amp;SUBSTITUTE($A179,"'","''")&amp;"'"&amp;" AND u.NomeUsuario = "&amp;"'"&amp;SUBSTITUTE($B179,"'","''")&amp;"'"&amp;" AND c.Texto = "&amp;"'"&amp;SUBSTITUTE($C179,"'","''")&amp;"'"&amp;");")</f>
        <v/>
      </c>
    </row>
    <row r="180" customFormat="false" ht="15" hidden="false" customHeight="false" outlineLevel="0" collapsed="false">
      <c r="A180" s="26"/>
      <c r="B180" s="26"/>
      <c r="C180" s="26"/>
      <c r="D180" s="28"/>
      <c r="E180" s="26"/>
      <c r="F180" s="26"/>
      <c r="G180" s="28"/>
      <c r="I180" s="25" t="str">
        <f aca="false">IF($A180="","","INSERT INTO Comentarios (ID_Post, ID_Autor, Texto, DataComentario, Status_Moderacao, ID_Moderador, DataModeracao) SELECT "&amp;"(SELECT ID_Post FROM Posts WHERE URL_Post = '"&amp;SUBSTITUTE($A180,"'","''")&amp;"')"&amp;", "&amp;"(SELECT ID_Usuario FROM Usuario WHERE NomeUsuario = '"&amp;SUBSTITUTE($B180,"'","''")&amp;"')"&amp;", "&amp;"'"&amp;SUBSTITUTE($C180,"'","''")&amp;"'"&amp;", "&amp;IF($D180="","SYSDATETIME()","'"&amp;SUBSTITUTE($D180,"'","''")&amp;"'")&amp;", "&amp;IF($E180="","'Pendente'","'"&amp;SUBSTITUTE($E180,"'","''")&amp;"'")&amp;", "&amp;IF($F180="","NULL","(SELECT ID_Usuario FROM Usuario WHERE NomeUsuario = '"&amp;SUBSTITUTE($F180,"'","''")&amp;"')")&amp;", "&amp;IF($G180="","NULL","'"&amp;SUBSTITUTE($G180,"'","''")&amp;"'")&amp;" WHERE NOT EXISTS (SELECT 1 FROM Comentarios c JOIN Posts p ON p.ID_Post = c.ID_Post JOIN Usuario u ON u.ID_Usuario = c.ID_Autor WHERE p.URL_Post = "&amp;"'"&amp;SUBSTITUTE($A180,"'","''")&amp;"'"&amp;" AND u.NomeUsuario = "&amp;"'"&amp;SUBSTITUTE($B180,"'","''")&amp;"'"&amp;" AND c.Texto = "&amp;"'"&amp;SUBSTITUTE($C180,"'","''")&amp;"'"&amp;");")</f>
        <v/>
      </c>
    </row>
    <row r="181" customFormat="false" ht="15" hidden="false" customHeight="false" outlineLevel="0" collapsed="false">
      <c r="A181" s="26"/>
      <c r="B181" s="26"/>
      <c r="C181" s="26"/>
      <c r="D181" s="28"/>
      <c r="E181" s="26"/>
      <c r="F181" s="26"/>
      <c r="G181" s="28"/>
      <c r="I181" s="25" t="str">
        <f aca="false">IF($A181="","","INSERT INTO Comentarios (ID_Post, ID_Autor, Texto, DataComentario, Status_Moderacao, ID_Moderador, DataModeracao) SELECT "&amp;"(SELECT ID_Post FROM Posts WHERE URL_Post = '"&amp;SUBSTITUTE($A181,"'","''")&amp;"')"&amp;", "&amp;"(SELECT ID_Usuario FROM Usuario WHERE NomeUsuario = '"&amp;SUBSTITUTE($B181,"'","''")&amp;"')"&amp;", "&amp;"'"&amp;SUBSTITUTE($C181,"'","''")&amp;"'"&amp;", "&amp;IF($D181="","SYSDATETIME()","'"&amp;SUBSTITUTE($D181,"'","''")&amp;"'")&amp;", "&amp;IF($E181="","'Pendente'","'"&amp;SUBSTITUTE($E181,"'","''")&amp;"'")&amp;", "&amp;IF($F181="","NULL","(SELECT ID_Usuario FROM Usuario WHERE NomeUsuario = '"&amp;SUBSTITUTE($F181,"'","''")&amp;"')")&amp;", "&amp;IF($G181="","NULL","'"&amp;SUBSTITUTE($G181,"'","''")&amp;"'")&amp;" WHERE NOT EXISTS (SELECT 1 FROM Comentarios c JOIN Posts p ON p.ID_Post = c.ID_Post JOIN Usuario u ON u.ID_Usuario = c.ID_Autor WHERE p.URL_Post = "&amp;"'"&amp;SUBSTITUTE($A181,"'","''")&amp;"'"&amp;" AND u.NomeUsuario = "&amp;"'"&amp;SUBSTITUTE($B181,"'","''")&amp;"'"&amp;" AND c.Texto = "&amp;"'"&amp;SUBSTITUTE($C181,"'","''")&amp;"'"&amp;");")</f>
        <v/>
      </c>
    </row>
    <row r="182" customFormat="false" ht="15" hidden="false" customHeight="false" outlineLevel="0" collapsed="false">
      <c r="A182" s="26"/>
      <c r="B182" s="26"/>
      <c r="C182" s="26"/>
      <c r="D182" s="28"/>
      <c r="E182" s="26"/>
      <c r="F182" s="26"/>
      <c r="G182" s="28"/>
      <c r="I182" s="25" t="str">
        <f aca="false">IF($A182="","","INSERT INTO Comentarios (ID_Post, ID_Autor, Texto, DataComentario, Status_Moderacao, ID_Moderador, DataModeracao) SELECT "&amp;"(SELECT ID_Post FROM Posts WHERE URL_Post = '"&amp;SUBSTITUTE($A182,"'","''")&amp;"')"&amp;", "&amp;"(SELECT ID_Usuario FROM Usuario WHERE NomeUsuario = '"&amp;SUBSTITUTE($B182,"'","''")&amp;"')"&amp;", "&amp;"'"&amp;SUBSTITUTE($C182,"'","''")&amp;"'"&amp;", "&amp;IF($D182="","SYSDATETIME()","'"&amp;SUBSTITUTE($D182,"'","''")&amp;"'")&amp;", "&amp;IF($E182="","'Pendente'","'"&amp;SUBSTITUTE($E182,"'","''")&amp;"'")&amp;", "&amp;IF($F182="","NULL","(SELECT ID_Usuario FROM Usuario WHERE NomeUsuario = '"&amp;SUBSTITUTE($F182,"'","''")&amp;"')")&amp;", "&amp;IF($G182="","NULL","'"&amp;SUBSTITUTE($G182,"'","''")&amp;"'")&amp;" WHERE NOT EXISTS (SELECT 1 FROM Comentarios c JOIN Posts p ON p.ID_Post = c.ID_Post JOIN Usuario u ON u.ID_Usuario = c.ID_Autor WHERE p.URL_Post = "&amp;"'"&amp;SUBSTITUTE($A182,"'","''")&amp;"'"&amp;" AND u.NomeUsuario = "&amp;"'"&amp;SUBSTITUTE($B182,"'","''")&amp;"'"&amp;" AND c.Texto = "&amp;"'"&amp;SUBSTITUTE($C182,"'","''")&amp;"'"&amp;");")</f>
        <v/>
      </c>
    </row>
    <row r="183" customFormat="false" ht="15" hidden="false" customHeight="false" outlineLevel="0" collapsed="false">
      <c r="A183" s="26"/>
      <c r="B183" s="26"/>
      <c r="C183" s="26"/>
      <c r="D183" s="28"/>
      <c r="E183" s="26"/>
      <c r="F183" s="26"/>
      <c r="G183" s="28"/>
      <c r="I183" s="25" t="str">
        <f aca="false">IF($A183="","","INSERT INTO Comentarios (ID_Post, ID_Autor, Texto, DataComentario, Status_Moderacao, ID_Moderador, DataModeracao) SELECT "&amp;"(SELECT ID_Post FROM Posts WHERE URL_Post = '"&amp;SUBSTITUTE($A183,"'","''")&amp;"')"&amp;", "&amp;"(SELECT ID_Usuario FROM Usuario WHERE NomeUsuario = '"&amp;SUBSTITUTE($B183,"'","''")&amp;"')"&amp;", "&amp;"'"&amp;SUBSTITUTE($C183,"'","''")&amp;"'"&amp;", "&amp;IF($D183="","SYSDATETIME()","'"&amp;SUBSTITUTE($D183,"'","''")&amp;"'")&amp;", "&amp;IF($E183="","'Pendente'","'"&amp;SUBSTITUTE($E183,"'","''")&amp;"'")&amp;", "&amp;IF($F183="","NULL","(SELECT ID_Usuario FROM Usuario WHERE NomeUsuario = '"&amp;SUBSTITUTE($F183,"'","''")&amp;"')")&amp;", "&amp;IF($G183="","NULL","'"&amp;SUBSTITUTE($G183,"'","''")&amp;"'")&amp;" WHERE NOT EXISTS (SELECT 1 FROM Comentarios c JOIN Posts p ON p.ID_Post = c.ID_Post JOIN Usuario u ON u.ID_Usuario = c.ID_Autor WHERE p.URL_Post = "&amp;"'"&amp;SUBSTITUTE($A183,"'","''")&amp;"'"&amp;" AND u.NomeUsuario = "&amp;"'"&amp;SUBSTITUTE($B183,"'","''")&amp;"'"&amp;" AND c.Texto = "&amp;"'"&amp;SUBSTITUTE($C183,"'","''")&amp;"'"&amp;");")</f>
        <v/>
      </c>
    </row>
    <row r="184" customFormat="false" ht="15" hidden="false" customHeight="false" outlineLevel="0" collapsed="false">
      <c r="A184" s="26"/>
      <c r="B184" s="26"/>
      <c r="C184" s="26"/>
      <c r="D184" s="28"/>
      <c r="E184" s="26"/>
      <c r="F184" s="26"/>
      <c r="G184" s="28"/>
      <c r="I184" s="25" t="str">
        <f aca="false">IF($A184="","","INSERT INTO Comentarios (ID_Post, ID_Autor, Texto, DataComentario, Status_Moderacao, ID_Moderador, DataModeracao) SELECT "&amp;"(SELECT ID_Post FROM Posts WHERE URL_Post = '"&amp;SUBSTITUTE($A184,"'","''")&amp;"')"&amp;", "&amp;"(SELECT ID_Usuario FROM Usuario WHERE NomeUsuario = '"&amp;SUBSTITUTE($B184,"'","''")&amp;"')"&amp;", "&amp;"'"&amp;SUBSTITUTE($C184,"'","''")&amp;"'"&amp;", "&amp;IF($D184="","SYSDATETIME()","'"&amp;SUBSTITUTE($D184,"'","''")&amp;"'")&amp;", "&amp;IF($E184="","'Pendente'","'"&amp;SUBSTITUTE($E184,"'","''")&amp;"'")&amp;", "&amp;IF($F184="","NULL","(SELECT ID_Usuario FROM Usuario WHERE NomeUsuario = '"&amp;SUBSTITUTE($F184,"'","''")&amp;"')")&amp;", "&amp;IF($G184="","NULL","'"&amp;SUBSTITUTE($G184,"'","''")&amp;"'")&amp;" WHERE NOT EXISTS (SELECT 1 FROM Comentarios c JOIN Posts p ON p.ID_Post = c.ID_Post JOIN Usuario u ON u.ID_Usuario = c.ID_Autor WHERE p.URL_Post = "&amp;"'"&amp;SUBSTITUTE($A184,"'","''")&amp;"'"&amp;" AND u.NomeUsuario = "&amp;"'"&amp;SUBSTITUTE($B184,"'","''")&amp;"'"&amp;" AND c.Texto = "&amp;"'"&amp;SUBSTITUTE($C184,"'","''")&amp;"'"&amp;");")</f>
        <v/>
      </c>
    </row>
    <row r="185" customFormat="false" ht="15" hidden="false" customHeight="false" outlineLevel="0" collapsed="false">
      <c r="A185" s="26"/>
      <c r="B185" s="26"/>
      <c r="C185" s="26"/>
      <c r="D185" s="28"/>
      <c r="E185" s="26"/>
      <c r="F185" s="26"/>
      <c r="G185" s="28"/>
      <c r="I185" s="25" t="str">
        <f aca="false">IF($A185="","","INSERT INTO Comentarios (ID_Post, ID_Autor, Texto, DataComentario, Status_Moderacao, ID_Moderador, DataModeracao) SELECT "&amp;"(SELECT ID_Post FROM Posts WHERE URL_Post = '"&amp;SUBSTITUTE($A185,"'","''")&amp;"')"&amp;", "&amp;"(SELECT ID_Usuario FROM Usuario WHERE NomeUsuario = '"&amp;SUBSTITUTE($B185,"'","''")&amp;"')"&amp;", "&amp;"'"&amp;SUBSTITUTE($C185,"'","''")&amp;"'"&amp;", "&amp;IF($D185="","SYSDATETIME()","'"&amp;SUBSTITUTE($D185,"'","''")&amp;"'")&amp;", "&amp;IF($E185="","'Pendente'","'"&amp;SUBSTITUTE($E185,"'","''")&amp;"'")&amp;", "&amp;IF($F185="","NULL","(SELECT ID_Usuario FROM Usuario WHERE NomeUsuario = '"&amp;SUBSTITUTE($F185,"'","''")&amp;"')")&amp;", "&amp;IF($G185="","NULL","'"&amp;SUBSTITUTE($G185,"'","''")&amp;"'")&amp;" WHERE NOT EXISTS (SELECT 1 FROM Comentarios c JOIN Posts p ON p.ID_Post = c.ID_Post JOIN Usuario u ON u.ID_Usuario = c.ID_Autor WHERE p.URL_Post = "&amp;"'"&amp;SUBSTITUTE($A185,"'","''")&amp;"'"&amp;" AND u.NomeUsuario = "&amp;"'"&amp;SUBSTITUTE($B185,"'","''")&amp;"'"&amp;" AND c.Texto = "&amp;"'"&amp;SUBSTITUTE($C185,"'","''")&amp;"'"&amp;");")</f>
        <v/>
      </c>
    </row>
    <row r="186" customFormat="false" ht="15" hidden="false" customHeight="false" outlineLevel="0" collapsed="false">
      <c r="A186" s="26"/>
      <c r="B186" s="26"/>
      <c r="C186" s="26"/>
      <c r="D186" s="28"/>
      <c r="E186" s="26"/>
      <c r="F186" s="26"/>
      <c r="G186" s="28"/>
      <c r="I186" s="25" t="str">
        <f aca="false">IF($A186="","","INSERT INTO Comentarios (ID_Post, ID_Autor, Texto, DataComentario, Status_Moderacao, ID_Moderador, DataModeracao) SELECT "&amp;"(SELECT ID_Post FROM Posts WHERE URL_Post = '"&amp;SUBSTITUTE($A186,"'","''")&amp;"')"&amp;", "&amp;"(SELECT ID_Usuario FROM Usuario WHERE NomeUsuario = '"&amp;SUBSTITUTE($B186,"'","''")&amp;"')"&amp;", "&amp;"'"&amp;SUBSTITUTE($C186,"'","''")&amp;"'"&amp;", "&amp;IF($D186="","SYSDATETIME()","'"&amp;SUBSTITUTE($D186,"'","''")&amp;"'")&amp;", "&amp;IF($E186="","'Pendente'","'"&amp;SUBSTITUTE($E186,"'","''")&amp;"'")&amp;", "&amp;IF($F186="","NULL","(SELECT ID_Usuario FROM Usuario WHERE NomeUsuario = '"&amp;SUBSTITUTE($F186,"'","''")&amp;"')")&amp;", "&amp;IF($G186="","NULL","'"&amp;SUBSTITUTE($G186,"'","''")&amp;"'")&amp;" WHERE NOT EXISTS (SELECT 1 FROM Comentarios c JOIN Posts p ON p.ID_Post = c.ID_Post JOIN Usuario u ON u.ID_Usuario = c.ID_Autor WHERE p.URL_Post = "&amp;"'"&amp;SUBSTITUTE($A186,"'","''")&amp;"'"&amp;" AND u.NomeUsuario = "&amp;"'"&amp;SUBSTITUTE($B186,"'","''")&amp;"'"&amp;" AND c.Texto = "&amp;"'"&amp;SUBSTITUTE($C186,"'","''")&amp;"'"&amp;");")</f>
        <v/>
      </c>
    </row>
    <row r="187" customFormat="false" ht="15" hidden="false" customHeight="false" outlineLevel="0" collapsed="false">
      <c r="A187" s="26"/>
      <c r="B187" s="26"/>
      <c r="C187" s="26"/>
      <c r="D187" s="28"/>
      <c r="E187" s="26"/>
      <c r="F187" s="26"/>
      <c r="G187" s="28"/>
      <c r="I187" s="25" t="str">
        <f aca="false">IF($A187="","","INSERT INTO Comentarios (ID_Post, ID_Autor, Texto, DataComentario, Status_Moderacao, ID_Moderador, DataModeracao) SELECT "&amp;"(SELECT ID_Post FROM Posts WHERE URL_Post = '"&amp;SUBSTITUTE($A187,"'","''")&amp;"')"&amp;", "&amp;"(SELECT ID_Usuario FROM Usuario WHERE NomeUsuario = '"&amp;SUBSTITUTE($B187,"'","''")&amp;"')"&amp;", "&amp;"'"&amp;SUBSTITUTE($C187,"'","''")&amp;"'"&amp;", "&amp;IF($D187="","SYSDATETIME()","'"&amp;SUBSTITUTE($D187,"'","''")&amp;"'")&amp;", "&amp;IF($E187="","'Pendente'","'"&amp;SUBSTITUTE($E187,"'","''")&amp;"'")&amp;", "&amp;IF($F187="","NULL","(SELECT ID_Usuario FROM Usuario WHERE NomeUsuario = '"&amp;SUBSTITUTE($F187,"'","''")&amp;"')")&amp;", "&amp;IF($G187="","NULL","'"&amp;SUBSTITUTE($G187,"'","''")&amp;"'")&amp;" WHERE NOT EXISTS (SELECT 1 FROM Comentarios c JOIN Posts p ON p.ID_Post = c.ID_Post JOIN Usuario u ON u.ID_Usuario = c.ID_Autor WHERE p.URL_Post = "&amp;"'"&amp;SUBSTITUTE($A187,"'","''")&amp;"'"&amp;" AND u.NomeUsuario = "&amp;"'"&amp;SUBSTITUTE($B187,"'","''")&amp;"'"&amp;" AND c.Texto = "&amp;"'"&amp;SUBSTITUTE($C187,"'","''")&amp;"'"&amp;");")</f>
        <v/>
      </c>
    </row>
    <row r="188" customFormat="false" ht="15" hidden="false" customHeight="false" outlineLevel="0" collapsed="false">
      <c r="A188" s="26"/>
      <c r="B188" s="26"/>
      <c r="C188" s="26"/>
      <c r="D188" s="28"/>
      <c r="E188" s="26"/>
      <c r="F188" s="26"/>
      <c r="G188" s="28"/>
      <c r="I188" s="25" t="str">
        <f aca="false">IF($A188="","","INSERT INTO Comentarios (ID_Post, ID_Autor, Texto, DataComentario, Status_Moderacao, ID_Moderador, DataModeracao) SELECT "&amp;"(SELECT ID_Post FROM Posts WHERE URL_Post = '"&amp;SUBSTITUTE($A188,"'","''")&amp;"')"&amp;", "&amp;"(SELECT ID_Usuario FROM Usuario WHERE NomeUsuario = '"&amp;SUBSTITUTE($B188,"'","''")&amp;"')"&amp;", "&amp;"'"&amp;SUBSTITUTE($C188,"'","''")&amp;"'"&amp;", "&amp;IF($D188="","SYSDATETIME()","'"&amp;SUBSTITUTE($D188,"'","''")&amp;"'")&amp;", "&amp;IF($E188="","'Pendente'","'"&amp;SUBSTITUTE($E188,"'","''")&amp;"'")&amp;", "&amp;IF($F188="","NULL","(SELECT ID_Usuario FROM Usuario WHERE NomeUsuario = '"&amp;SUBSTITUTE($F188,"'","''")&amp;"')")&amp;", "&amp;IF($G188="","NULL","'"&amp;SUBSTITUTE($G188,"'","''")&amp;"'")&amp;" WHERE NOT EXISTS (SELECT 1 FROM Comentarios c JOIN Posts p ON p.ID_Post = c.ID_Post JOIN Usuario u ON u.ID_Usuario = c.ID_Autor WHERE p.URL_Post = "&amp;"'"&amp;SUBSTITUTE($A188,"'","''")&amp;"'"&amp;" AND u.NomeUsuario = "&amp;"'"&amp;SUBSTITUTE($B188,"'","''")&amp;"'"&amp;" AND c.Texto = "&amp;"'"&amp;SUBSTITUTE($C188,"'","''")&amp;"'"&amp;");")</f>
        <v/>
      </c>
    </row>
    <row r="189" customFormat="false" ht="15" hidden="false" customHeight="false" outlineLevel="0" collapsed="false">
      <c r="A189" s="26"/>
      <c r="B189" s="26"/>
      <c r="C189" s="26"/>
      <c r="D189" s="28"/>
      <c r="E189" s="26"/>
      <c r="F189" s="26"/>
      <c r="G189" s="28"/>
      <c r="I189" s="25" t="str">
        <f aca="false">IF($A189="","","INSERT INTO Comentarios (ID_Post, ID_Autor, Texto, DataComentario, Status_Moderacao, ID_Moderador, DataModeracao) SELECT "&amp;"(SELECT ID_Post FROM Posts WHERE URL_Post = '"&amp;SUBSTITUTE($A189,"'","''")&amp;"')"&amp;", "&amp;"(SELECT ID_Usuario FROM Usuario WHERE NomeUsuario = '"&amp;SUBSTITUTE($B189,"'","''")&amp;"')"&amp;", "&amp;"'"&amp;SUBSTITUTE($C189,"'","''")&amp;"'"&amp;", "&amp;IF($D189="","SYSDATETIME()","'"&amp;SUBSTITUTE($D189,"'","''")&amp;"'")&amp;", "&amp;IF($E189="","'Pendente'","'"&amp;SUBSTITUTE($E189,"'","''")&amp;"'")&amp;", "&amp;IF($F189="","NULL","(SELECT ID_Usuario FROM Usuario WHERE NomeUsuario = '"&amp;SUBSTITUTE($F189,"'","''")&amp;"')")&amp;", "&amp;IF($G189="","NULL","'"&amp;SUBSTITUTE($G189,"'","''")&amp;"'")&amp;" WHERE NOT EXISTS (SELECT 1 FROM Comentarios c JOIN Posts p ON p.ID_Post = c.ID_Post JOIN Usuario u ON u.ID_Usuario = c.ID_Autor WHERE p.URL_Post = "&amp;"'"&amp;SUBSTITUTE($A189,"'","''")&amp;"'"&amp;" AND u.NomeUsuario = "&amp;"'"&amp;SUBSTITUTE($B189,"'","''")&amp;"'"&amp;" AND c.Texto = "&amp;"'"&amp;SUBSTITUTE($C189,"'","''")&amp;"'"&amp;");")</f>
        <v/>
      </c>
    </row>
    <row r="190" customFormat="false" ht="15" hidden="false" customHeight="false" outlineLevel="0" collapsed="false">
      <c r="A190" s="26"/>
      <c r="B190" s="26"/>
      <c r="C190" s="26"/>
      <c r="D190" s="28"/>
      <c r="E190" s="26"/>
      <c r="F190" s="26"/>
      <c r="G190" s="28"/>
      <c r="I190" s="25" t="str">
        <f aca="false">IF($A190="","","INSERT INTO Comentarios (ID_Post, ID_Autor, Texto, DataComentario, Status_Moderacao, ID_Moderador, DataModeracao) SELECT "&amp;"(SELECT ID_Post FROM Posts WHERE URL_Post = '"&amp;SUBSTITUTE($A190,"'","''")&amp;"')"&amp;", "&amp;"(SELECT ID_Usuario FROM Usuario WHERE NomeUsuario = '"&amp;SUBSTITUTE($B190,"'","''")&amp;"')"&amp;", "&amp;"'"&amp;SUBSTITUTE($C190,"'","''")&amp;"'"&amp;", "&amp;IF($D190="","SYSDATETIME()","'"&amp;SUBSTITUTE($D190,"'","''")&amp;"'")&amp;", "&amp;IF($E190="","'Pendente'","'"&amp;SUBSTITUTE($E190,"'","''")&amp;"'")&amp;", "&amp;IF($F190="","NULL","(SELECT ID_Usuario FROM Usuario WHERE NomeUsuario = '"&amp;SUBSTITUTE($F190,"'","''")&amp;"')")&amp;", "&amp;IF($G190="","NULL","'"&amp;SUBSTITUTE($G190,"'","''")&amp;"'")&amp;" WHERE NOT EXISTS (SELECT 1 FROM Comentarios c JOIN Posts p ON p.ID_Post = c.ID_Post JOIN Usuario u ON u.ID_Usuario = c.ID_Autor WHERE p.URL_Post = "&amp;"'"&amp;SUBSTITUTE($A190,"'","''")&amp;"'"&amp;" AND u.NomeUsuario = "&amp;"'"&amp;SUBSTITUTE($B190,"'","''")&amp;"'"&amp;" AND c.Texto = "&amp;"'"&amp;SUBSTITUTE($C190,"'","''")&amp;"'"&amp;");")</f>
        <v/>
      </c>
    </row>
    <row r="191" customFormat="false" ht="15" hidden="false" customHeight="false" outlineLevel="0" collapsed="false">
      <c r="A191" s="26"/>
      <c r="B191" s="26"/>
      <c r="C191" s="26"/>
      <c r="D191" s="28"/>
      <c r="E191" s="26"/>
      <c r="F191" s="26"/>
      <c r="G191" s="28"/>
      <c r="I191" s="25" t="str">
        <f aca="false">IF($A191="","","INSERT INTO Comentarios (ID_Post, ID_Autor, Texto, DataComentario, Status_Moderacao, ID_Moderador, DataModeracao) SELECT "&amp;"(SELECT ID_Post FROM Posts WHERE URL_Post = '"&amp;SUBSTITUTE($A191,"'","''")&amp;"')"&amp;", "&amp;"(SELECT ID_Usuario FROM Usuario WHERE NomeUsuario = '"&amp;SUBSTITUTE($B191,"'","''")&amp;"')"&amp;", "&amp;"'"&amp;SUBSTITUTE($C191,"'","''")&amp;"'"&amp;", "&amp;IF($D191="","SYSDATETIME()","'"&amp;SUBSTITUTE($D191,"'","''")&amp;"'")&amp;", "&amp;IF($E191="","'Pendente'","'"&amp;SUBSTITUTE($E191,"'","''")&amp;"'")&amp;", "&amp;IF($F191="","NULL","(SELECT ID_Usuario FROM Usuario WHERE NomeUsuario = '"&amp;SUBSTITUTE($F191,"'","''")&amp;"')")&amp;", "&amp;IF($G191="","NULL","'"&amp;SUBSTITUTE($G191,"'","''")&amp;"'")&amp;" WHERE NOT EXISTS (SELECT 1 FROM Comentarios c JOIN Posts p ON p.ID_Post = c.ID_Post JOIN Usuario u ON u.ID_Usuario = c.ID_Autor WHERE p.URL_Post = "&amp;"'"&amp;SUBSTITUTE($A191,"'","''")&amp;"'"&amp;" AND u.NomeUsuario = "&amp;"'"&amp;SUBSTITUTE($B191,"'","''")&amp;"'"&amp;" AND c.Texto = "&amp;"'"&amp;SUBSTITUTE($C191,"'","''")&amp;"'"&amp;");")</f>
        <v/>
      </c>
    </row>
    <row r="192" customFormat="false" ht="15" hidden="false" customHeight="false" outlineLevel="0" collapsed="false">
      <c r="A192" s="26"/>
      <c r="B192" s="26"/>
      <c r="C192" s="26"/>
      <c r="D192" s="28"/>
      <c r="E192" s="26"/>
      <c r="F192" s="26"/>
      <c r="G192" s="28"/>
      <c r="I192" s="25" t="str">
        <f aca="false">IF($A192="","","INSERT INTO Comentarios (ID_Post, ID_Autor, Texto, DataComentario, Status_Moderacao, ID_Moderador, DataModeracao) SELECT "&amp;"(SELECT ID_Post FROM Posts WHERE URL_Post = '"&amp;SUBSTITUTE($A192,"'","''")&amp;"')"&amp;", "&amp;"(SELECT ID_Usuario FROM Usuario WHERE NomeUsuario = '"&amp;SUBSTITUTE($B192,"'","''")&amp;"')"&amp;", "&amp;"'"&amp;SUBSTITUTE($C192,"'","''")&amp;"'"&amp;", "&amp;IF($D192="","SYSDATETIME()","'"&amp;SUBSTITUTE($D192,"'","''")&amp;"'")&amp;", "&amp;IF($E192="","'Pendente'","'"&amp;SUBSTITUTE($E192,"'","''")&amp;"'")&amp;", "&amp;IF($F192="","NULL","(SELECT ID_Usuario FROM Usuario WHERE NomeUsuario = '"&amp;SUBSTITUTE($F192,"'","''")&amp;"')")&amp;", "&amp;IF($G192="","NULL","'"&amp;SUBSTITUTE($G192,"'","''")&amp;"'")&amp;" WHERE NOT EXISTS (SELECT 1 FROM Comentarios c JOIN Posts p ON p.ID_Post = c.ID_Post JOIN Usuario u ON u.ID_Usuario = c.ID_Autor WHERE p.URL_Post = "&amp;"'"&amp;SUBSTITUTE($A192,"'","''")&amp;"'"&amp;" AND u.NomeUsuario = "&amp;"'"&amp;SUBSTITUTE($B192,"'","''")&amp;"'"&amp;" AND c.Texto = "&amp;"'"&amp;SUBSTITUTE($C192,"'","''")&amp;"'"&amp;");")</f>
        <v/>
      </c>
    </row>
    <row r="193" customFormat="false" ht="15" hidden="false" customHeight="false" outlineLevel="0" collapsed="false">
      <c r="A193" s="26"/>
      <c r="B193" s="26"/>
      <c r="C193" s="26"/>
      <c r="D193" s="28"/>
      <c r="E193" s="26"/>
      <c r="F193" s="26"/>
      <c r="G193" s="28"/>
      <c r="I193" s="25" t="str">
        <f aca="false">IF($A193="","","INSERT INTO Comentarios (ID_Post, ID_Autor, Texto, DataComentario, Status_Moderacao, ID_Moderador, DataModeracao) SELECT "&amp;"(SELECT ID_Post FROM Posts WHERE URL_Post = '"&amp;SUBSTITUTE($A193,"'","''")&amp;"')"&amp;", "&amp;"(SELECT ID_Usuario FROM Usuario WHERE NomeUsuario = '"&amp;SUBSTITUTE($B193,"'","''")&amp;"')"&amp;", "&amp;"'"&amp;SUBSTITUTE($C193,"'","''")&amp;"'"&amp;", "&amp;IF($D193="","SYSDATETIME()","'"&amp;SUBSTITUTE($D193,"'","''")&amp;"'")&amp;", "&amp;IF($E193="","'Pendente'","'"&amp;SUBSTITUTE($E193,"'","''")&amp;"'")&amp;", "&amp;IF($F193="","NULL","(SELECT ID_Usuario FROM Usuario WHERE NomeUsuario = '"&amp;SUBSTITUTE($F193,"'","''")&amp;"')")&amp;", "&amp;IF($G193="","NULL","'"&amp;SUBSTITUTE($G193,"'","''")&amp;"'")&amp;" WHERE NOT EXISTS (SELECT 1 FROM Comentarios c JOIN Posts p ON p.ID_Post = c.ID_Post JOIN Usuario u ON u.ID_Usuario = c.ID_Autor WHERE p.URL_Post = "&amp;"'"&amp;SUBSTITUTE($A193,"'","''")&amp;"'"&amp;" AND u.NomeUsuario = "&amp;"'"&amp;SUBSTITUTE($B193,"'","''")&amp;"'"&amp;" AND c.Texto = "&amp;"'"&amp;SUBSTITUTE($C193,"'","''")&amp;"'"&amp;");")</f>
        <v/>
      </c>
    </row>
    <row r="194" customFormat="false" ht="15" hidden="false" customHeight="false" outlineLevel="0" collapsed="false">
      <c r="A194" s="26"/>
      <c r="B194" s="26"/>
      <c r="C194" s="26"/>
      <c r="D194" s="28"/>
      <c r="E194" s="26"/>
      <c r="F194" s="26"/>
      <c r="G194" s="28"/>
      <c r="I194" s="25" t="str">
        <f aca="false">IF($A194="","","INSERT INTO Comentarios (ID_Post, ID_Autor, Texto, DataComentario, Status_Moderacao, ID_Moderador, DataModeracao) SELECT "&amp;"(SELECT ID_Post FROM Posts WHERE URL_Post = '"&amp;SUBSTITUTE($A194,"'","''")&amp;"')"&amp;", "&amp;"(SELECT ID_Usuario FROM Usuario WHERE NomeUsuario = '"&amp;SUBSTITUTE($B194,"'","''")&amp;"')"&amp;", "&amp;"'"&amp;SUBSTITUTE($C194,"'","''")&amp;"'"&amp;", "&amp;IF($D194="","SYSDATETIME()","'"&amp;SUBSTITUTE($D194,"'","''")&amp;"'")&amp;", "&amp;IF($E194="","'Pendente'","'"&amp;SUBSTITUTE($E194,"'","''")&amp;"'")&amp;", "&amp;IF($F194="","NULL","(SELECT ID_Usuario FROM Usuario WHERE NomeUsuario = '"&amp;SUBSTITUTE($F194,"'","''")&amp;"')")&amp;", "&amp;IF($G194="","NULL","'"&amp;SUBSTITUTE($G194,"'","''")&amp;"'")&amp;" WHERE NOT EXISTS (SELECT 1 FROM Comentarios c JOIN Posts p ON p.ID_Post = c.ID_Post JOIN Usuario u ON u.ID_Usuario = c.ID_Autor WHERE p.URL_Post = "&amp;"'"&amp;SUBSTITUTE($A194,"'","''")&amp;"'"&amp;" AND u.NomeUsuario = "&amp;"'"&amp;SUBSTITUTE($B194,"'","''")&amp;"'"&amp;" AND c.Texto = "&amp;"'"&amp;SUBSTITUTE($C194,"'","''")&amp;"'"&amp;");")</f>
        <v/>
      </c>
    </row>
    <row r="195" customFormat="false" ht="15" hidden="false" customHeight="false" outlineLevel="0" collapsed="false">
      <c r="A195" s="26"/>
      <c r="B195" s="26"/>
      <c r="C195" s="26"/>
      <c r="D195" s="28"/>
      <c r="E195" s="26"/>
      <c r="F195" s="26"/>
      <c r="G195" s="28"/>
      <c r="I195" s="25" t="str">
        <f aca="false">IF($A195="","","INSERT INTO Comentarios (ID_Post, ID_Autor, Texto, DataComentario, Status_Moderacao, ID_Moderador, DataModeracao) SELECT "&amp;"(SELECT ID_Post FROM Posts WHERE URL_Post = '"&amp;SUBSTITUTE($A195,"'","''")&amp;"')"&amp;", "&amp;"(SELECT ID_Usuario FROM Usuario WHERE NomeUsuario = '"&amp;SUBSTITUTE($B195,"'","''")&amp;"')"&amp;", "&amp;"'"&amp;SUBSTITUTE($C195,"'","''")&amp;"'"&amp;", "&amp;IF($D195="","SYSDATETIME()","'"&amp;SUBSTITUTE($D195,"'","''")&amp;"'")&amp;", "&amp;IF($E195="","'Pendente'","'"&amp;SUBSTITUTE($E195,"'","''")&amp;"'")&amp;", "&amp;IF($F195="","NULL","(SELECT ID_Usuario FROM Usuario WHERE NomeUsuario = '"&amp;SUBSTITUTE($F195,"'","''")&amp;"')")&amp;", "&amp;IF($G195="","NULL","'"&amp;SUBSTITUTE($G195,"'","''")&amp;"'")&amp;" WHERE NOT EXISTS (SELECT 1 FROM Comentarios c JOIN Posts p ON p.ID_Post = c.ID_Post JOIN Usuario u ON u.ID_Usuario = c.ID_Autor WHERE p.URL_Post = "&amp;"'"&amp;SUBSTITUTE($A195,"'","''")&amp;"'"&amp;" AND u.NomeUsuario = "&amp;"'"&amp;SUBSTITUTE($B195,"'","''")&amp;"'"&amp;" AND c.Texto = "&amp;"'"&amp;SUBSTITUTE($C195,"'","''")&amp;"'"&amp;");")</f>
        <v/>
      </c>
    </row>
    <row r="196" customFormat="false" ht="15" hidden="false" customHeight="false" outlineLevel="0" collapsed="false">
      <c r="A196" s="26"/>
      <c r="B196" s="26"/>
      <c r="C196" s="26"/>
      <c r="D196" s="28"/>
      <c r="E196" s="26"/>
      <c r="F196" s="26"/>
      <c r="G196" s="28"/>
      <c r="I196" s="25" t="str">
        <f aca="false">IF($A196="","","INSERT INTO Comentarios (ID_Post, ID_Autor, Texto, DataComentario, Status_Moderacao, ID_Moderador, DataModeracao) SELECT "&amp;"(SELECT ID_Post FROM Posts WHERE URL_Post = '"&amp;SUBSTITUTE($A196,"'","''")&amp;"')"&amp;", "&amp;"(SELECT ID_Usuario FROM Usuario WHERE NomeUsuario = '"&amp;SUBSTITUTE($B196,"'","''")&amp;"')"&amp;", "&amp;"'"&amp;SUBSTITUTE($C196,"'","''")&amp;"'"&amp;", "&amp;IF($D196="","SYSDATETIME()","'"&amp;SUBSTITUTE($D196,"'","''")&amp;"'")&amp;", "&amp;IF($E196="","'Pendente'","'"&amp;SUBSTITUTE($E196,"'","''")&amp;"'")&amp;", "&amp;IF($F196="","NULL","(SELECT ID_Usuario FROM Usuario WHERE NomeUsuario = '"&amp;SUBSTITUTE($F196,"'","''")&amp;"')")&amp;", "&amp;IF($G196="","NULL","'"&amp;SUBSTITUTE($G196,"'","''")&amp;"'")&amp;" WHERE NOT EXISTS (SELECT 1 FROM Comentarios c JOIN Posts p ON p.ID_Post = c.ID_Post JOIN Usuario u ON u.ID_Usuario = c.ID_Autor WHERE p.URL_Post = "&amp;"'"&amp;SUBSTITUTE($A196,"'","''")&amp;"'"&amp;" AND u.NomeUsuario = "&amp;"'"&amp;SUBSTITUTE($B196,"'","''")&amp;"'"&amp;" AND c.Texto = "&amp;"'"&amp;SUBSTITUTE($C196,"'","''")&amp;"'"&amp;");")</f>
        <v/>
      </c>
    </row>
    <row r="197" customFormat="false" ht="15" hidden="false" customHeight="false" outlineLevel="0" collapsed="false">
      <c r="A197" s="26"/>
      <c r="B197" s="26"/>
      <c r="C197" s="26"/>
      <c r="D197" s="28"/>
      <c r="E197" s="26"/>
      <c r="F197" s="26"/>
      <c r="G197" s="28"/>
      <c r="I197" s="25" t="str">
        <f aca="false">IF($A197="","","INSERT INTO Comentarios (ID_Post, ID_Autor, Texto, DataComentario, Status_Moderacao, ID_Moderador, DataModeracao) SELECT "&amp;"(SELECT ID_Post FROM Posts WHERE URL_Post = '"&amp;SUBSTITUTE($A197,"'","''")&amp;"')"&amp;", "&amp;"(SELECT ID_Usuario FROM Usuario WHERE NomeUsuario = '"&amp;SUBSTITUTE($B197,"'","''")&amp;"')"&amp;", "&amp;"'"&amp;SUBSTITUTE($C197,"'","''")&amp;"'"&amp;", "&amp;IF($D197="","SYSDATETIME()","'"&amp;SUBSTITUTE($D197,"'","''")&amp;"'")&amp;", "&amp;IF($E197="","'Pendente'","'"&amp;SUBSTITUTE($E197,"'","''")&amp;"'")&amp;", "&amp;IF($F197="","NULL","(SELECT ID_Usuario FROM Usuario WHERE NomeUsuario = '"&amp;SUBSTITUTE($F197,"'","''")&amp;"')")&amp;", "&amp;IF($G197="","NULL","'"&amp;SUBSTITUTE($G197,"'","''")&amp;"'")&amp;" WHERE NOT EXISTS (SELECT 1 FROM Comentarios c JOIN Posts p ON p.ID_Post = c.ID_Post JOIN Usuario u ON u.ID_Usuario = c.ID_Autor WHERE p.URL_Post = "&amp;"'"&amp;SUBSTITUTE($A197,"'","''")&amp;"'"&amp;" AND u.NomeUsuario = "&amp;"'"&amp;SUBSTITUTE($B197,"'","''")&amp;"'"&amp;" AND c.Texto = "&amp;"'"&amp;SUBSTITUTE($C197,"'","''")&amp;"'"&amp;");")</f>
        <v/>
      </c>
    </row>
    <row r="198" customFormat="false" ht="15" hidden="false" customHeight="false" outlineLevel="0" collapsed="false">
      <c r="A198" s="26"/>
      <c r="B198" s="26"/>
      <c r="C198" s="26"/>
      <c r="D198" s="28"/>
      <c r="E198" s="26"/>
      <c r="F198" s="26"/>
      <c r="G198" s="28"/>
      <c r="I198" s="25" t="str">
        <f aca="false">IF($A198="","","INSERT INTO Comentarios (ID_Post, ID_Autor, Texto, DataComentario, Status_Moderacao, ID_Moderador, DataModeracao) SELECT "&amp;"(SELECT ID_Post FROM Posts WHERE URL_Post = '"&amp;SUBSTITUTE($A198,"'","''")&amp;"')"&amp;", "&amp;"(SELECT ID_Usuario FROM Usuario WHERE NomeUsuario = '"&amp;SUBSTITUTE($B198,"'","''")&amp;"')"&amp;", "&amp;"'"&amp;SUBSTITUTE($C198,"'","''")&amp;"'"&amp;", "&amp;IF($D198="","SYSDATETIME()","'"&amp;SUBSTITUTE($D198,"'","''")&amp;"'")&amp;", "&amp;IF($E198="","'Pendente'","'"&amp;SUBSTITUTE($E198,"'","''")&amp;"'")&amp;", "&amp;IF($F198="","NULL","(SELECT ID_Usuario FROM Usuario WHERE NomeUsuario = '"&amp;SUBSTITUTE($F198,"'","''")&amp;"')")&amp;", "&amp;IF($G198="","NULL","'"&amp;SUBSTITUTE($G198,"'","''")&amp;"'")&amp;" WHERE NOT EXISTS (SELECT 1 FROM Comentarios c JOIN Posts p ON p.ID_Post = c.ID_Post JOIN Usuario u ON u.ID_Usuario = c.ID_Autor WHERE p.URL_Post = "&amp;"'"&amp;SUBSTITUTE($A198,"'","''")&amp;"'"&amp;" AND u.NomeUsuario = "&amp;"'"&amp;SUBSTITUTE($B198,"'","''")&amp;"'"&amp;" AND c.Texto = "&amp;"'"&amp;SUBSTITUTE($C198,"'","''")&amp;"'"&amp;");")</f>
        <v/>
      </c>
    </row>
    <row r="199" customFormat="false" ht="15" hidden="false" customHeight="false" outlineLevel="0" collapsed="false">
      <c r="A199" s="26"/>
      <c r="B199" s="26"/>
      <c r="C199" s="26"/>
      <c r="D199" s="28"/>
      <c r="E199" s="26"/>
      <c r="F199" s="26"/>
      <c r="G199" s="28"/>
      <c r="I199" s="25" t="str">
        <f aca="false">IF($A199="","","INSERT INTO Comentarios (ID_Post, ID_Autor, Texto, DataComentario, Status_Moderacao, ID_Moderador, DataModeracao) SELECT "&amp;"(SELECT ID_Post FROM Posts WHERE URL_Post = '"&amp;SUBSTITUTE($A199,"'","''")&amp;"')"&amp;", "&amp;"(SELECT ID_Usuario FROM Usuario WHERE NomeUsuario = '"&amp;SUBSTITUTE($B199,"'","''")&amp;"')"&amp;", "&amp;"'"&amp;SUBSTITUTE($C199,"'","''")&amp;"'"&amp;", "&amp;IF($D199="","SYSDATETIME()","'"&amp;SUBSTITUTE($D199,"'","''")&amp;"'")&amp;", "&amp;IF($E199="","'Pendente'","'"&amp;SUBSTITUTE($E199,"'","''")&amp;"'")&amp;", "&amp;IF($F199="","NULL","(SELECT ID_Usuario FROM Usuario WHERE NomeUsuario = '"&amp;SUBSTITUTE($F199,"'","''")&amp;"')")&amp;", "&amp;IF($G199="","NULL","'"&amp;SUBSTITUTE($G199,"'","''")&amp;"'")&amp;" WHERE NOT EXISTS (SELECT 1 FROM Comentarios c JOIN Posts p ON p.ID_Post = c.ID_Post JOIN Usuario u ON u.ID_Usuario = c.ID_Autor WHERE p.URL_Post = "&amp;"'"&amp;SUBSTITUTE($A199,"'","''")&amp;"'"&amp;" AND u.NomeUsuario = "&amp;"'"&amp;SUBSTITUTE($B199,"'","''")&amp;"'"&amp;" AND c.Texto = "&amp;"'"&amp;SUBSTITUTE($C199,"'","''")&amp;"'"&amp;");")</f>
        <v/>
      </c>
    </row>
    <row r="200" customFormat="false" ht="15" hidden="false" customHeight="false" outlineLevel="0" collapsed="false">
      <c r="A200" s="26"/>
      <c r="B200" s="26"/>
      <c r="C200" s="26"/>
      <c r="D200" s="28"/>
      <c r="E200" s="26"/>
      <c r="F200" s="26"/>
      <c r="G200" s="28"/>
      <c r="I200" s="25" t="str">
        <f aca="false">IF($A200="","","INSERT INTO Comentarios (ID_Post, ID_Autor, Texto, DataComentario, Status_Moderacao, ID_Moderador, DataModeracao) SELECT "&amp;"(SELECT ID_Post FROM Posts WHERE URL_Post = '"&amp;SUBSTITUTE($A200,"'","''")&amp;"')"&amp;", "&amp;"(SELECT ID_Usuario FROM Usuario WHERE NomeUsuario = '"&amp;SUBSTITUTE($B200,"'","''")&amp;"')"&amp;", "&amp;"'"&amp;SUBSTITUTE($C200,"'","''")&amp;"'"&amp;", "&amp;IF($D200="","SYSDATETIME()","'"&amp;SUBSTITUTE($D200,"'","''")&amp;"'")&amp;", "&amp;IF($E200="","'Pendente'","'"&amp;SUBSTITUTE($E200,"'","''")&amp;"'")&amp;", "&amp;IF($F200="","NULL","(SELECT ID_Usuario FROM Usuario WHERE NomeUsuario = '"&amp;SUBSTITUTE($F200,"'","''")&amp;"')")&amp;", "&amp;IF($G200="","NULL","'"&amp;SUBSTITUTE($G200,"'","''")&amp;"'")&amp;" WHERE NOT EXISTS (SELECT 1 FROM Comentarios c JOIN Posts p ON p.ID_Post = c.ID_Post JOIN Usuario u ON u.ID_Usuario = c.ID_Autor WHERE p.URL_Post = "&amp;"'"&amp;SUBSTITUTE($A200,"'","''")&amp;"'"&amp;" AND u.NomeUsuario = "&amp;"'"&amp;SUBSTITUTE($B200,"'","''")&amp;"'"&amp;" AND c.Texto = "&amp;"'"&amp;SUBSTITUTE($C200,"'","''")&amp;"'"&amp;");")</f>
        <v/>
      </c>
    </row>
    <row r="201" customFormat="false" ht="15" hidden="false" customHeight="false" outlineLevel="0" collapsed="false">
      <c r="A201" s="26"/>
      <c r="B201" s="26"/>
      <c r="C201" s="26"/>
      <c r="D201" s="28"/>
      <c r="E201" s="26"/>
      <c r="F201" s="26"/>
      <c r="G201" s="28"/>
      <c r="I201" s="25" t="str">
        <f aca="false">IF($A201="","","INSERT INTO Comentarios (ID_Post, ID_Autor, Texto, DataComentario, Status_Moderacao, ID_Moderador, DataModeracao) SELECT "&amp;"(SELECT ID_Post FROM Posts WHERE URL_Post = '"&amp;SUBSTITUTE($A201,"'","''")&amp;"')"&amp;", "&amp;"(SELECT ID_Usuario FROM Usuario WHERE NomeUsuario = '"&amp;SUBSTITUTE($B201,"'","''")&amp;"')"&amp;", "&amp;"'"&amp;SUBSTITUTE($C201,"'","''")&amp;"'"&amp;", "&amp;IF($D201="","SYSDATETIME()","'"&amp;SUBSTITUTE($D201,"'","''")&amp;"'")&amp;", "&amp;IF($E201="","'Pendente'","'"&amp;SUBSTITUTE($E201,"'","''")&amp;"'")&amp;", "&amp;IF($F201="","NULL","(SELECT ID_Usuario FROM Usuario WHERE NomeUsuario = '"&amp;SUBSTITUTE($F201,"'","''")&amp;"')")&amp;", "&amp;IF($G201="","NULL","'"&amp;SUBSTITUTE($G201,"'","''")&amp;"'")&amp;" WHERE NOT EXISTS (SELECT 1 FROM Comentarios c JOIN Posts p ON p.ID_Post = c.ID_Post JOIN Usuario u ON u.ID_Usuario = c.ID_Autor WHERE p.URL_Post = "&amp;"'"&amp;SUBSTITUTE($A201,"'","''")&amp;"'"&amp;" AND u.NomeUsuario = "&amp;"'"&amp;SUBSTITUTE($B201,"'","''")&amp;"'"&amp;" AND c.Texto = "&amp;"'"&amp;SUBSTITUTE($C201,"'","''")&amp;"'"&amp;");")</f>
        <v/>
      </c>
    </row>
    <row r="202" customFormat="false" ht="15" hidden="false" customHeight="false" outlineLevel="0" collapsed="false">
      <c r="A202" s="26"/>
      <c r="B202" s="26"/>
      <c r="C202" s="26"/>
      <c r="D202" s="28"/>
      <c r="E202" s="26"/>
      <c r="F202" s="26"/>
      <c r="G202" s="28"/>
      <c r="I202" s="25" t="str">
        <f aca="false">IF($A202="","","INSERT INTO Comentarios (ID_Post, ID_Autor, Texto, DataComentario, Status_Moderacao, ID_Moderador, DataModeracao) SELECT "&amp;"(SELECT ID_Post FROM Posts WHERE URL_Post = '"&amp;SUBSTITUTE($A202,"'","''")&amp;"')"&amp;", "&amp;"(SELECT ID_Usuario FROM Usuario WHERE NomeUsuario = '"&amp;SUBSTITUTE($B202,"'","''")&amp;"')"&amp;", "&amp;"'"&amp;SUBSTITUTE($C202,"'","''")&amp;"'"&amp;", "&amp;IF($D202="","SYSDATETIME()","'"&amp;SUBSTITUTE($D202,"'","''")&amp;"'")&amp;", "&amp;IF($E202="","'Pendente'","'"&amp;SUBSTITUTE($E202,"'","''")&amp;"'")&amp;", "&amp;IF($F202="","NULL","(SELECT ID_Usuario FROM Usuario WHERE NomeUsuario = '"&amp;SUBSTITUTE($F202,"'","''")&amp;"')")&amp;", "&amp;IF($G202="","NULL","'"&amp;SUBSTITUTE($G202,"'","''")&amp;"'")&amp;" WHERE NOT EXISTS (SELECT 1 FROM Comentarios c JOIN Posts p ON p.ID_Post = c.ID_Post JOIN Usuario u ON u.ID_Usuario = c.ID_Autor WHERE p.URL_Post = "&amp;"'"&amp;SUBSTITUTE($A202,"'","''")&amp;"'"&amp;" AND u.NomeUsuario = "&amp;"'"&amp;SUBSTITUTE($B202,"'","''")&amp;"'"&amp;" AND c.Texto = "&amp;"'"&amp;SUBSTITUTE($C202,"'","''")&amp;"'"&amp;");")</f>
        <v/>
      </c>
    </row>
  </sheetData>
  <dataValidations count="4">
    <dataValidation allowBlank="true" error="Escolha a URL de um post da aba Posts (FK ID_Post)." errorStyle="stop" errorTitle="Post" operator="between" prompt="Escolha a URL de um post da aba Posts (FK ID_Post)." promptTitle="Post" showDropDown="false" showErrorMessage="true" showInputMessage="true" sqref="A3:A202" type="list">
      <formula1>lst_Posts</formula1>
      <formula2>0</formula2>
    </dataValidation>
    <dataValidation allowBlank="true" error="Escolha um usuario da aba Usuario (FK ID_Autor)." errorStyle="stop" errorTitle="Autor" operator="between" prompt="Escolha um usuario da aba Usuario (FK ID_Autor)." promptTitle="Autor" showDropDown="false" showErrorMessage="true" showInputMessage="true" sqref="B3:B202" type="list">
      <formula1>lst_Usuarios</formula1>
      <formula2>0</formula2>
    </dataValidation>
    <dataValidation allowBlank="true" error="Use apenas Pendente, Aprovado ou Rejeitado (CHECK da tabela Comentarios)." errorStyle="stop" errorTitle="Status_Moderacao" operator="between" prompt="Use apenas Pendente, Aprovado ou Rejeitado (CHECK da tabela Comentarios)." promptTitle="Status_Moderacao" showDropDown="false" showErrorMessage="true" showInputMessage="true" sqref="E3:E202" type="list">
      <formula1>lst_Status</formula1>
      <formula2>0</formula2>
    </dataValidation>
    <dataValidation allowBlank="true" error="Escolha um usuario da aba Usuario, ou deixe em branco (FK ID_Moderador)." errorStyle="stop" errorTitle="Moderador" operator="between" prompt="Escolha um usuario da aba Usuario, ou deixe em branco (FK ID_Moderador)." promptTitle="Moderador" showDropDown="false" showErrorMessage="true" showInputMessage="true" sqref="F3:F202" type="list">
      <formula1>lst_Usuarios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29" t="s">
        <v>56</v>
      </c>
      <c r="B1" s="29" t="s">
        <v>70</v>
      </c>
      <c r="C1" s="29" t="s">
        <v>114</v>
      </c>
    </row>
    <row r="2" customFormat="false" ht="15" hidden="false" customHeight="false" outlineLevel="0" collapsed="false">
      <c r="A2" s="18" t="s">
        <v>182</v>
      </c>
      <c r="B2" s="18" t="n">
        <v>1</v>
      </c>
      <c r="C2" s="18" t="s">
        <v>183</v>
      </c>
    </row>
    <row r="3" customFormat="false" ht="15" hidden="false" customHeight="false" outlineLevel="0" collapsed="false">
      <c r="A3" s="18" t="s">
        <v>184</v>
      </c>
      <c r="B3" s="18" t="n">
        <v>0</v>
      </c>
      <c r="C3" s="18" t="s">
        <v>180</v>
      </c>
    </row>
    <row r="4" customFormat="false" ht="15" hidden="false" customHeight="false" outlineLevel="0" collapsed="false">
      <c r="A4" s="18" t="s">
        <v>147</v>
      </c>
      <c r="C4" s="18" t="s">
        <v>185</v>
      </c>
    </row>
    <row r="6" customFormat="false" ht="15" hidden="false" customHeight="false" outlineLevel="0" collapsed="false">
      <c r="A6" s="19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2026-09-21T22:36:27Z</dcterms:created>
  <dc:creator>openpyxl</dc:creator>
  <dc:description/>
  <dc:language>en-US</dc:language>
  <cp:lastModifiedBy/>
  <dcterms:modified xsi:type="dcterms:W3CDTF">2026-09-21T22:36:27Z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